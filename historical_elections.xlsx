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sliggett/MapWiseResearch/forecasting/new_forecast_code/"/>
    </mc:Choice>
  </mc:AlternateContent>
  <xr:revisionPtr revIDLastSave="0" documentId="8_{71D8FDFB-20B7-B942-B7AE-72704CD6E8C4}" xr6:coauthVersionLast="47" xr6:coauthVersionMax="47" xr10:uidLastSave="{00000000-0000-0000-0000-000000000000}"/>
  <bookViews>
    <workbookView xWindow="380" yWindow="500" windowWidth="28040" windowHeight="15800" activeTab="1" xr2:uid="{5DCAEF84-9814-1543-9CD5-B32BF532BB6E}"/>
  </bookViews>
  <sheets>
    <sheet name="districts" sheetId="1" r:id="rId1"/>
    <sheet name="states" sheetId="2" r:id="rId2"/>
  </sheets>
  <definedNames>
    <definedName name="house" localSheetId="0">districts!$A$1:$K$436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9" i="1" l="1"/>
  <c r="K429" i="1"/>
  <c r="J429" i="1"/>
  <c r="L428" i="1"/>
  <c r="K428" i="1"/>
  <c r="J428" i="1"/>
  <c r="L427" i="1"/>
  <c r="K427" i="1"/>
  <c r="J427" i="1"/>
  <c r="L426" i="1"/>
  <c r="K426" i="1"/>
  <c r="J426" i="1"/>
  <c r="L425" i="1"/>
  <c r="K425" i="1"/>
  <c r="J425" i="1"/>
  <c r="L424" i="1"/>
  <c r="K424" i="1"/>
  <c r="J424" i="1"/>
  <c r="L423" i="1"/>
  <c r="K423" i="1"/>
  <c r="J423" i="1"/>
  <c r="L422" i="1"/>
  <c r="K422" i="1"/>
  <c r="J422" i="1"/>
  <c r="L421" i="1"/>
  <c r="K421" i="1"/>
  <c r="J421" i="1"/>
  <c r="L420" i="1"/>
  <c r="K420" i="1"/>
  <c r="J420" i="1"/>
  <c r="L419" i="1"/>
  <c r="K419" i="1"/>
  <c r="J419" i="1"/>
  <c r="L418" i="1"/>
  <c r="K418" i="1"/>
  <c r="J418" i="1"/>
  <c r="L417" i="1"/>
  <c r="K417" i="1"/>
  <c r="J417" i="1"/>
  <c r="L416" i="1"/>
  <c r="K416" i="1"/>
  <c r="J416" i="1"/>
  <c r="L415" i="1"/>
  <c r="K415" i="1"/>
  <c r="J415" i="1"/>
  <c r="L414" i="1"/>
  <c r="K414" i="1"/>
  <c r="J414" i="1"/>
  <c r="L413" i="1"/>
  <c r="K413" i="1"/>
  <c r="J413" i="1"/>
  <c r="L412" i="1"/>
  <c r="K412" i="1"/>
  <c r="J412" i="1"/>
  <c r="L411" i="1"/>
  <c r="K411" i="1"/>
  <c r="J411" i="1"/>
  <c r="L410" i="1"/>
  <c r="K410" i="1"/>
  <c r="J410" i="1"/>
  <c r="L409" i="1"/>
  <c r="K409" i="1"/>
  <c r="J409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401" i="1"/>
  <c r="K401" i="1"/>
  <c r="J401" i="1"/>
  <c r="L400" i="1"/>
  <c r="K400" i="1"/>
  <c r="J400" i="1"/>
  <c r="L399" i="1"/>
  <c r="K399" i="1"/>
  <c r="J399" i="1"/>
  <c r="L398" i="1"/>
  <c r="K398" i="1"/>
  <c r="J398" i="1"/>
  <c r="L397" i="1"/>
  <c r="K397" i="1"/>
  <c r="J397" i="1"/>
  <c r="L396" i="1"/>
  <c r="K396" i="1"/>
  <c r="J396" i="1"/>
  <c r="L395" i="1"/>
  <c r="K395" i="1"/>
  <c r="J395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9" i="1"/>
  <c r="K389" i="1"/>
  <c r="J389" i="1"/>
  <c r="L388" i="1"/>
  <c r="K388" i="1"/>
  <c r="J388" i="1"/>
  <c r="L387" i="1"/>
  <c r="K387" i="1"/>
  <c r="J387" i="1"/>
  <c r="L386" i="1"/>
  <c r="K386" i="1"/>
  <c r="J386" i="1"/>
  <c r="L385" i="1"/>
  <c r="K385" i="1"/>
  <c r="J385" i="1"/>
  <c r="L384" i="1"/>
  <c r="K384" i="1"/>
  <c r="J384" i="1"/>
  <c r="L383" i="1"/>
  <c r="K383" i="1"/>
  <c r="J383" i="1"/>
  <c r="L382" i="1"/>
  <c r="K382" i="1"/>
  <c r="J382" i="1"/>
  <c r="L381" i="1"/>
  <c r="K381" i="1"/>
  <c r="J381" i="1"/>
  <c r="L380" i="1"/>
  <c r="K380" i="1"/>
  <c r="J380" i="1"/>
  <c r="L379" i="1"/>
  <c r="K379" i="1"/>
  <c r="J379" i="1"/>
  <c r="L378" i="1"/>
  <c r="K378" i="1"/>
  <c r="J378" i="1"/>
  <c r="L377" i="1"/>
  <c r="K377" i="1"/>
  <c r="J377" i="1"/>
  <c r="L376" i="1"/>
  <c r="K376" i="1"/>
  <c r="J376" i="1"/>
  <c r="L375" i="1"/>
  <c r="K375" i="1"/>
  <c r="J375" i="1"/>
  <c r="L374" i="1"/>
  <c r="K374" i="1"/>
  <c r="J374" i="1"/>
  <c r="L373" i="1"/>
  <c r="K373" i="1"/>
  <c r="J373" i="1"/>
  <c r="L372" i="1"/>
  <c r="K372" i="1"/>
  <c r="J372" i="1"/>
  <c r="L371" i="1"/>
  <c r="K371" i="1"/>
  <c r="J371" i="1"/>
  <c r="L370" i="1"/>
  <c r="K370" i="1"/>
  <c r="J370" i="1"/>
  <c r="L369" i="1"/>
  <c r="K369" i="1"/>
  <c r="J369" i="1"/>
  <c r="L368" i="1"/>
  <c r="K368" i="1"/>
  <c r="J368" i="1"/>
  <c r="L367" i="1"/>
  <c r="K367" i="1"/>
  <c r="J367" i="1"/>
  <c r="L366" i="1"/>
  <c r="K366" i="1"/>
  <c r="J366" i="1"/>
  <c r="L365" i="1"/>
  <c r="K365" i="1"/>
  <c r="J365" i="1"/>
  <c r="L364" i="1"/>
  <c r="K364" i="1"/>
  <c r="J364" i="1"/>
  <c r="L363" i="1"/>
  <c r="K363" i="1"/>
  <c r="J363" i="1"/>
  <c r="L362" i="1"/>
  <c r="K362" i="1"/>
  <c r="J362" i="1"/>
  <c r="L361" i="1"/>
  <c r="K361" i="1"/>
  <c r="J361" i="1"/>
  <c r="L360" i="1"/>
  <c r="K360" i="1"/>
  <c r="J360" i="1"/>
  <c r="L359" i="1"/>
  <c r="K359" i="1"/>
  <c r="J359" i="1"/>
  <c r="L358" i="1"/>
  <c r="K358" i="1"/>
  <c r="J358" i="1"/>
  <c r="L357" i="1"/>
  <c r="K357" i="1"/>
  <c r="J357" i="1"/>
  <c r="L356" i="1"/>
  <c r="K356" i="1"/>
  <c r="J356" i="1"/>
  <c r="L355" i="1"/>
  <c r="K355" i="1"/>
  <c r="J355" i="1"/>
  <c r="L354" i="1"/>
  <c r="K354" i="1"/>
  <c r="J354" i="1"/>
  <c r="L353" i="1"/>
  <c r="K353" i="1"/>
  <c r="J353" i="1"/>
  <c r="L352" i="1"/>
  <c r="K352" i="1"/>
  <c r="J352" i="1"/>
  <c r="L351" i="1"/>
  <c r="K351" i="1"/>
  <c r="J351" i="1"/>
  <c r="L350" i="1"/>
  <c r="K350" i="1"/>
  <c r="J350" i="1"/>
  <c r="L349" i="1"/>
  <c r="K349" i="1"/>
  <c r="J349" i="1"/>
  <c r="L348" i="1"/>
  <c r="K348" i="1"/>
  <c r="J348" i="1"/>
  <c r="L347" i="1"/>
  <c r="K347" i="1"/>
  <c r="J347" i="1"/>
  <c r="L346" i="1"/>
  <c r="K346" i="1"/>
  <c r="J346" i="1"/>
  <c r="L345" i="1"/>
  <c r="K345" i="1"/>
  <c r="J345" i="1"/>
  <c r="L344" i="1"/>
  <c r="K344" i="1"/>
  <c r="J344" i="1"/>
  <c r="L343" i="1"/>
  <c r="K343" i="1"/>
  <c r="J343" i="1"/>
  <c r="L342" i="1"/>
  <c r="K342" i="1"/>
  <c r="J342" i="1"/>
  <c r="L341" i="1"/>
  <c r="K341" i="1"/>
  <c r="J341" i="1"/>
  <c r="L340" i="1"/>
  <c r="K340" i="1"/>
  <c r="J340" i="1"/>
  <c r="L339" i="1"/>
  <c r="K339" i="1"/>
  <c r="J339" i="1"/>
  <c r="L338" i="1"/>
  <c r="K338" i="1"/>
  <c r="J338" i="1"/>
  <c r="L337" i="1"/>
  <c r="K337" i="1"/>
  <c r="J337" i="1"/>
  <c r="L336" i="1"/>
  <c r="K336" i="1"/>
  <c r="J336" i="1"/>
  <c r="L335" i="1"/>
  <c r="K335" i="1"/>
  <c r="J335" i="1"/>
  <c r="L334" i="1"/>
  <c r="K334" i="1"/>
  <c r="J334" i="1"/>
  <c r="L333" i="1"/>
  <c r="K333" i="1"/>
  <c r="J333" i="1"/>
  <c r="L332" i="1"/>
  <c r="K332" i="1"/>
  <c r="J332" i="1"/>
  <c r="L331" i="1"/>
  <c r="K331" i="1"/>
  <c r="J331" i="1"/>
  <c r="L330" i="1"/>
  <c r="K330" i="1"/>
  <c r="J330" i="1"/>
  <c r="L329" i="1"/>
  <c r="K329" i="1"/>
  <c r="J329" i="1"/>
  <c r="L328" i="1"/>
  <c r="K328" i="1"/>
  <c r="J328" i="1"/>
  <c r="L327" i="1"/>
  <c r="K327" i="1"/>
  <c r="J327" i="1"/>
  <c r="L326" i="1"/>
  <c r="K326" i="1"/>
  <c r="J326" i="1"/>
  <c r="L325" i="1"/>
  <c r="K325" i="1"/>
  <c r="J325" i="1"/>
  <c r="L324" i="1"/>
  <c r="K324" i="1"/>
  <c r="J324" i="1"/>
  <c r="L323" i="1"/>
  <c r="K323" i="1"/>
  <c r="J323" i="1"/>
  <c r="L322" i="1"/>
  <c r="K322" i="1"/>
  <c r="J322" i="1"/>
  <c r="L321" i="1"/>
  <c r="K321" i="1"/>
  <c r="J321" i="1"/>
  <c r="L320" i="1"/>
  <c r="K320" i="1"/>
  <c r="J320" i="1"/>
  <c r="L319" i="1"/>
  <c r="K319" i="1"/>
  <c r="J319" i="1"/>
  <c r="L318" i="1"/>
  <c r="K318" i="1"/>
  <c r="J318" i="1"/>
  <c r="L317" i="1"/>
  <c r="K317" i="1"/>
  <c r="J317" i="1"/>
  <c r="L316" i="1"/>
  <c r="K316" i="1"/>
  <c r="J316" i="1"/>
  <c r="L315" i="1"/>
  <c r="K315" i="1"/>
  <c r="J315" i="1"/>
  <c r="L314" i="1"/>
  <c r="K314" i="1"/>
  <c r="J314" i="1"/>
  <c r="L313" i="1"/>
  <c r="K313" i="1"/>
  <c r="J313" i="1"/>
  <c r="L312" i="1"/>
  <c r="K312" i="1"/>
  <c r="J312" i="1"/>
  <c r="L311" i="1"/>
  <c r="K311" i="1"/>
  <c r="J311" i="1"/>
  <c r="L310" i="1"/>
  <c r="K310" i="1"/>
  <c r="J310" i="1"/>
  <c r="L309" i="1"/>
  <c r="K309" i="1"/>
  <c r="J309" i="1"/>
  <c r="L308" i="1"/>
  <c r="K308" i="1"/>
  <c r="J308" i="1"/>
  <c r="L307" i="1"/>
  <c r="K307" i="1"/>
  <c r="J307" i="1"/>
  <c r="L306" i="1"/>
  <c r="K306" i="1"/>
  <c r="J306" i="1"/>
  <c r="L305" i="1"/>
  <c r="K305" i="1"/>
  <c r="J305" i="1"/>
  <c r="L304" i="1"/>
  <c r="K304" i="1"/>
  <c r="J304" i="1"/>
  <c r="L303" i="1"/>
  <c r="K303" i="1"/>
  <c r="J303" i="1"/>
  <c r="L302" i="1"/>
  <c r="K302" i="1"/>
  <c r="J302" i="1"/>
  <c r="L301" i="1"/>
  <c r="K301" i="1"/>
  <c r="J301" i="1"/>
  <c r="L300" i="1"/>
  <c r="K300" i="1"/>
  <c r="J300" i="1"/>
  <c r="L299" i="1"/>
  <c r="K299" i="1"/>
  <c r="J299" i="1"/>
  <c r="L298" i="1"/>
  <c r="K298" i="1"/>
  <c r="J298" i="1"/>
  <c r="L297" i="1"/>
  <c r="K297" i="1"/>
  <c r="J297" i="1"/>
  <c r="L296" i="1"/>
  <c r="K296" i="1"/>
  <c r="J296" i="1"/>
  <c r="L295" i="1"/>
  <c r="K295" i="1"/>
  <c r="J295" i="1"/>
  <c r="L294" i="1"/>
  <c r="K294" i="1"/>
  <c r="J294" i="1"/>
  <c r="L293" i="1"/>
  <c r="K293" i="1"/>
  <c r="J293" i="1"/>
  <c r="L292" i="1"/>
  <c r="K292" i="1"/>
  <c r="J292" i="1"/>
  <c r="L291" i="1"/>
  <c r="K291" i="1"/>
  <c r="J291" i="1"/>
  <c r="L290" i="1"/>
  <c r="K290" i="1"/>
  <c r="J290" i="1"/>
  <c r="L289" i="1"/>
  <c r="K289" i="1"/>
  <c r="J289" i="1"/>
  <c r="L288" i="1"/>
  <c r="K288" i="1"/>
  <c r="J288" i="1"/>
  <c r="L287" i="1"/>
  <c r="K287" i="1"/>
  <c r="J287" i="1"/>
  <c r="L286" i="1"/>
  <c r="K286" i="1"/>
  <c r="J286" i="1"/>
  <c r="L285" i="1"/>
  <c r="K285" i="1"/>
  <c r="J285" i="1"/>
  <c r="L284" i="1"/>
  <c r="K284" i="1"/>
  <c r="J284" i="1"/>
  <c r="L283" i="1"/>
  <c r="K283" i="1"/>
  <c r="J283" i="1"/>
  <c r="L282" i="1"/>
  <c r="K282" i="1"/>
  <c r="J282" i="1"/>
  <c r="L281" i="1"/>
  <c r="K281" i="1"/>
  <c r="J281" i="1"/>
  <c r="L280" i="1"/>
  <c r="K280" i="1"/>
  <c r="J280" i="1"/>
  <c r="L279" i="1"/>
  <c r="K279" i="1"/>
  <c r="J279" i="1"/>
  <c r="L278" i="1"/>
  <c r="K278" i="1"/>
  <c r="J278" i="1"/>
  <c r="L277" i="1"/>
  <c r="K277" i="1"/>
  <c r="J277" i="1"/>
  <c r="L276" i="1"/>
  <c r="K276" i="1"/>
  <c r="J276" i="1"/>
  <c r="L275" i="1"/>
  <c r="K275" i="1"/>
  <c r="J275" i="1"/>
  <c r="L274" i="1"/>
  <c r="K274" i="1"/>
  <c r="J274" i="1"/>
  <c r="L273" i="1"/>
  <c r="K273" i="1"/>
  <c r="J273" i="1"/>
  <c r="L272" i="1"/>
  <c r="K272" i="1"/>
  <c r="J272" i="1"/>
  <c r="L271" i="1"/>
  <c r="K271" i="1"/>
  <c r="J271" i="1"/>
  <c r="L270" i="1"/>
  <c r="K270" i="1"/>
  <c r="J270" i="1"/>
  <c r="L269" i="1"/>
  <c r="K269" i="1"/>
  <c r="J269" i="1"/>
  <c r="L268" i="1"/>
  <c r="K268" i="1"/>
  <c r="J268" i="1"/>
  <c r="L267" i="1"/>
  <c r="K267" i="1"/>
  <c r="J267" i="1"/>
  <c r="L266" i="1"/>
  <c r="K266" i="1"/>
  <c r="J266" i="1"/>
  <c r="L265" i="1"/>
  <c r="K265" i="1"/>
  <c r="J265" i="1"/>
  <c r="L264" i="1"/>
  <c r="K264" i="1"/>
  <c r="J264" i="1"/>
  <c r="L263" i="1"/>
  <c r="K263" i="1"/>
  <c r="J263" i="1"/>
  <c r="L262" i="1"/>
  <c r="K262" i="1"/>
  <c r="J262" i="1"/>
  <c r="L261" i="1"/>
  <c r="K261" i="1"/>
  <c r="J261" i="1"/>
  <c r="L260" i="1"/>
  <c r="K260" i="1"/>
  <c r="J260" i="1"/>
  <c r="L259" i="1"/>
  <c r="K259" i="1"/>
  <c r="J259" i="1"/>
  <c r="L258" i="1"/>
  <c r="K258" i="1"/>
  <c r="J258" i="1"/>
  <c r="L257" i="1"/>
  <c r="K257" i="1"/>
  <c r="J257" i="1"/>
  <c r="L256" i="1"/>
  <c r="K256" i="1"/>
  <c r="J256" i="1"/>
  <c r="L255" i="1"/>
  <c r="K255" i="1"/>
  <c r="J255" i="1"/>
  <c r="L254" i="1"/>
  <c r="K254" i="1"/>
  <c r="J254" i="1"/>
  <c r="L253" i="1"/>
  <c r="K253" i="1"/>
  <c r="J253" i="1"/>
  <c r="L252" i="1"/>
  <c r="K252" i="1"/>
  <c r="J252" i="1"/>
  <c r="L251" i="1"/>
  <c r="K251" i="1"/>
  <c r="J251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42" i="1"/>
  <c r="K242" i="1"/>
  <c r="J242" i="1"/>
  <c r="L241" i="1"/>
  <c r="K241" i="1"/>
  <c r="J241" i="1"/>
  <c r="L240" i="1"/>
  <c r="K240" i="1"/>
  <c r="J240" i="1"/>
  <c r="L239" i="1"/>
  <c r="K239" i="1"/>
  <c r="J239" i="1"/>
  <c r="L238" i="1"/>
  <c r="K238" i="1"/>
  <c r="J238" i="1"/>
  <c r="L237" i="1"/>
  <c r="K237" i="1"/>
  <c r="J237" i="1"/>
  <c r="L236" i="1"/>
  <c r="K236" i="1"/>
  <c r="J236" i="1"/>
  <c r="L235" i="1"/>
  <c r="K235" i="1"/>
  <c r="J235" i="1"/>
  <c r="L234" i="1"/>
  <c r="K234" i="1"/>
  <c r="J234" i="1"/>
  <c r="L233" i="1"/>
  <c r="K233" i="1"/>
  <c r="J233" i="1"/>
  <c r="L232" i="1"/>
  <c r="K232" i="1"/>
  <c r="J232" i="1"/>
  <c r="L231" i="1"/>
  <c r="K231" i="1"/>
  <c r="J231" i="1"/>
  <c r="L230" i="1"/>
  <c r="K230" i="1"/>
  <c r="J230" i="1"/>
  <c r="L229" i="1"/>
  <c r="K229" i="1"/>
  <c r="J229" i="1"/>
  <c r="L228" i="1"/>
  <c r="K228" i="1"/>
  <c r="J228" i="1"/>
  <c r="L227" i="1"/>
  <c r="K227" i="1"/>
  <c r="J227" i="1"/>
  <c r="L226" i="1"/>
  <c r="K226" i="1"/>
  <c r="J226" i="1"/>
  <c r="L225" i="1"/>
  <c r="K225" i="1"/>
  <c r="J225" i="1"/>
  <c r="L224" i="1"/>
  <c r="K224" i="1"/>
  <c r="J224" i="1"/>
  <c r="L223" i="1"/>
  <c r="K223" i="1"/>
  <c r="J223" i="1"/>
  <c r="L222" i="1"/>
  <c r="K222" i="1"/>
  <c r="J222" i="1"/>
  <c r="L221" i="1"/>
  <c r="K221" i="1"/>
  <c r="J221" i="1"/>
  <c r="L220" i="1"/>
  <c r="K220" i="1"/>
  <c r="J220" i="1"/>
  <c r="L219" i="1"/>
  <c r="K219" i="1"/>
  <c r="J219" i="1"/>
  <c r="L218" i="1"/>
  <c r="K218" i="1"/>
  <c r="J218" i="1"/>
  <c r="L217" i="1"/>
  <c r="K217" i="1"/>
  <c r="J217" i="1"/>
  <c r="L216" i="1"/>
  <c r="K216" i="1"/>
  <c r="J216" i="1"/>
  <c r="L215" i="1"/>
  <c r="K215" i="1"/>
  <c r="J215" i="1"/>
  <c r="L214" i="1"/>
  <c r="K214" i="1"/>
  <c r="J214" i="1"/>
  <c r="L213" i="1"/>
  <c r="K213" i="1"/>
  <c r="J213" i="1"/>
  <c r="L212" i="1"/>
  <c r="K212" i="1"/>
  <c r="J212" i="1"/>
  <c r="L211" i="1"/>
  <c r="K211" i="1"/>
  <c r="J211" i="1"/>
  <c r="L210" i="1"/>
  <c r="K210" i="1"/>
  <c r="J210" i="1"/>
  <c r="L209" i="1"/>
  <c r="K209" i="1"/>
  <c r="J209" i="1"/>
  <c r="L208" i="1"/>
  <c r="K208" i="1"/>
  <c r="J208" i="1"/>
  <c r="L207" i="1"/>
  <c r="K207" i="1"/>
  <c r="J207" i="1"/>
  <c r="L206" i="1"/>
  <c r="K206" i="1"/>
  <c r="J206" i="1"/>
  <c r="L205" i="1"/>
  <c r="K205" i="1"/>
  <c r="J205" i="1"/>
  <c r="L204" i="1"/>
  <c r="K204" i="1"/>
  <c r="J204" i="1"/>
  <c r="L203" i="1"/>
  <c r="K203" i="1"/>
  <c r="J203" i="1"/>
  <c r="L202" i="1"/>
  <c r="K202" i="1"/>
  <c r="J202" i="1"/>
  <c r="L201" i="1"/>
  <c r="K201" i="1"/>
  <c r="J201" i="1"/>
  <c r="L200" i="1"/>
  <c r="K200" i="1"/>
  <c r="J200" i="1"/>
  <c r="L199" i="1"/>
  <c r="K199" i="1"/>
  <c r="J199" i="1"/>
  <c r="L198" i="1"/>
  <c r="K198" i="1"/>
  <c r="J198" i="1"/>
  <c r="L197" i="1"/>
  <c r="K197" i="1"/>
  <c r="J197" i="1"/>
  <c r="L196" i="1"/>
  <c r="K196" i="1"/>
  <c r="J196" i="1"/>
  <c r="L195" i="1"/>
  <c r="K195" i="1"/>
  <c r="J195" i="1"/>
  <c r="L194" i="1"/>
  <c r="K194" i="1"/>
  <c r="J194" i="1"/>
  <c r="L193" i="1"/>
  <c r="K193" i="1"/>
  <c r="J193" i="1"/>
  <c r="L192" i="1"/>
  <c r="K192" i="1"/>
  <c r="J192" i="1"/>
  <c r="L191" i="1"/>
  <c r="K191" i="1"/>
  <c r="J191" i="1"/>
  <c r="L190" i="1"/>
  <c r="K190" i="1"/>
  <c r="J190" i="1"/>
  <c r="L189" i="1"/>
  <c r="K189" i="1"/>
  <c r="J189" i="1"/>
  <c r="L188" i="1"/>
  <c r="K188" i="1"/>
  <c r="J188" i="1"/>
  <c r="L187" i="1"/>
  <c r="K187" i="1"/>
  <c r="J187" i="1"/>
  <c r="L186" i="1"/>
  <c r="K186" i="1"/>
  <c r="J186" i="1"/>
  <c r="L185" i="1"/>
  <c r="K185" i="1"/>
  <c r="J185" i="1"/>
  <c r="L184" i="1"/>
  <c r="K184" i="1"/>
  <c r="J184" i="1"/>
  <c r="L183" i="1"/>
  <c r="K183" i="1"/>
  <c r="J183" i="1"/>
  <c r="L182" i="1"/>
  <c r="K182" i="1"/>
  <c r="J182" i="1"/>
  <c r="L181" i="1"/>
  <c r="K181" i="1"/>
  <c r="J181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3" i="1"/>
  <c r="K173" i="1"/>
  <c r="J173" i="1"/>
  <c r="L172" i="1"/>
  <c r="K172" i="1"/>
  <c r="J172" i="1"/>
  <c r="L171" i="1"/>
  <c r="K171" i="1"/>
  <c r="J171" i="1"/>
  <c r="L170" i="1"/>
  <c r="K170" i="1"/>
  <c r="J170" i="1"/>
  <c r="L169" i="1"/>
  <c r="K169" i="1"/>
  <c r="J169" i="1"/>
  <c r="L168" i="1"/>
  <c r="K168" i="1"/>
  <c r="J168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1" i="1"/>
  <c r="K161" i="1"/>
  <c r="J161" i="1"/>
  <c r="L160" i="1"/>
  <c r="K160" i="1"/>
  <c r="J160" i="1"/>
  <c r="L159" i="1"/>
  <c r="K159" i="1"/>
  <c r="J159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L149" i="1"/>
  <c r="K149" i="1"/>
  <c r="J149" i="1"/>
  <c r="L148" i="1"/>
  <c r="K148" i="1"/>
  <c r="J148" i="1"/>
  <c r="L147" i="1"/>
  <c r="K147" i="1"/>
  <c r="J147" i="1"/>
  <c r="L146" i="1"/>
  <c r="K146" i="1"/>
  <c r="J146" i="1"/>
  <c r="L145" i="1"/>
  <c r="K145" i="1"/>
  <c r="J145" i="1"/>
  <c r="L144" i="1"/>
  <c r="K144" i="1"/>
  <c r="J144" i="1"/>
  <c r="L143" i="1"/>
  <c r="K143" i="1"/>
  <c r="J143" i="1"/>
  <c r="L142" i="1"/>
  <c r="K142" i="1"/>
  <c r="J142" i="1"/>
  <c r="L141" i="1"/>
  <c r="K141" i="1"/>
  <c r="J141" i="1"/>
  <c r="L140" i="1"/>
  <c r="K140" i="1"/>
  <c r="J140" i="1"/>
  <c r="L139" i="1"/>
  <c r="K139" i="1"/>
  <c r="J139" i="1"/>
  <c r="L138" i="1"/>
  <c r="K138" i="1"/>
  <c r="J138" i="1"/>
  <c r="L137" i="1"/>
  <c r="K137" i="1"/>
  <c r="J137" i="1"/>
  <c r="L136" i="1"/>
  <c r="K136" i="1"/>
  <c r="J136" i="1"/>
  <c r="L135" i="1"/>
  <c r="K135" i="1"/>
  <c r="J135" i="1"/>
  <c r="L134" i="1"/>
  <c r="K134" i="1"/>
  <c r="J134" i="1"/>
  <c r="L133" i="1"/>
  <c r="K133" i="1"/>
  <c r="J133" i="1"/>
  <c r="L132" i="1"/>
  <c r="K132" i="1"/>
  <c r="J132" i="1"/>
  <c r="L131" i="1"/>
  <c r="K131" i="1"/>
  <c r="J131" i="1"/>
  <c r="L130" i="1"/>
  <c r="K130" i="1"/>
  <c r="J130" i="1"/>
  <c r="L129" i="1"/>
  <c r="K129" i="1"/>
  <c r="J129" i="1"/>
  <c r="L128" i="1"/>
  <c r="K128" i="1"/>
  <c r="J128" i="1"/>
  <c r="L127" i="1"/>
  <c r="K127" i="1"/>
  <c r="J127" i="1"/>
  <c r="L126" i="1"/>
  <c r="K126" i="1"/>
  <c r="J126" i="1"/>
  <c r="L125" i="1"/>
  <c r="K125" i="1"/>
  <c r="J125" i="1"/>
  <c r="L124" i="1"/>
  <c r="K124" i="1"/>
  <c r="J124" i="1"/>
  <c r="L123" i="1"/>
  <c r="K123" i="1"/>
  <c r="J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J117" i="1"/>
  <c r="L116" i="1"/>
  <c r="K116" i="1"/>
  <c r="J116" i="1"/>
  <c r="L115" i="1"/>
  <c r="K115" i="1"/>
  <c r="J115" i="1"/>
  <c r="L114" i="1"/>
  <c r="K114" i="1"/>
  <c r="J114" i="1"/>
  <c r="L113" i="1"/>
  <c r="K113" i="1"/>
  <c r="J113" i="1"/>
  <c r="L112" i="1"/>
  <c r="K112" i="1"/>
  <c r="J112" i="1"/>
  <c r="L111" i="1"/>
  <c r="K111" i="1"/>
  <c r="J111" i="1"/>
  <c r="L110" i="1"/>
  <c r="K110" i="1"/>
  <c r="J110" i="1"/>
  <c r="L109" i="1"/>
  <c r="K109" i="1"/>
  <c r="J109" i="1"/>
  <c r="L108" i="1"/>
  <c r="K108" i="1"/>
  <c r="J108" i="1"/>
  <c r="L107" i="1"/>
  <c r="K107" i="1"/>
  <c r="J107" i="1"/>
  <c r="L106" i="1"/>
  <c r="K106" i="1"/>
  <c r="J106" i="1"/>
  <c r="L105" i="1"/>
  <c r="K105" i="1"/>
  <c r="J105" i="1"/>
  <c r="L104" i="1"/>
  <c r="K104" i="1"/>
  <c r="J104" i="1"/>
  <c r="L103" i="1"/>
  <c r="K103" i="1"/>
  <c r="J103" i="1"/>
  <c r="L102" i="1"/>
  <c r="K102" i="1"/>
  <c r="J102" i="1"/>
  <c r="L101" i="1"/>
  <c r="K101" i="1"/>
  <c r="J101" i="1"/>
  <c r="L100" i="1"/>
  <c r="K100" i="1"/>
  <c r="J100" i="1"/>
  <c r="L99" i="1"/>
  <c r="K99" i="1"/>
  <c r="J99" i="1"/>
  <c r="L98" i="1"/>
  <c r="K98" i="1"/>
  <c r="J98" i="1"/>
  <c r="L97" i="1"/>
  <c r="K97" i="1"/>
  <c r="J97" i="1"/>
  <c r="L96" i="1"/>
  <c r="K96" i="1"/>
  <c r="J96" i="1"/>
  <c r="L95" i="1"/>
  <c r="K95" i="1"/>
  <c r="J95" i="1"/>
  <c r="L94" i="1"/>
  <c r="K94" i="1"/>
  <c r="J94" i="1"/>
  <c r="L93" i="1"/>
  <c r="K93" i="1"/>
  <c r="J93" i="1"/>
  <c r="L92" i="1"/>
  <c r="K92" i="1"/>
  <c r="J92" i="1"/>
  <c r="L91" i="1"/>
  <c r="K91" i="1"/>
  <c r="J91" i="1"/>
  <c r="L90" i="1"/>
  <c r="K90" i="1"/>
  <c r="J90" i="1"/>
  <c r="L89" i="1"/>
  <c r="K89" i="1"/>
  <c r="J89" i="1"/>
  <c r="L88" i="1"/>
  <c r="K88" i="1"/>
  <c r="J88" i="1"/>
  <c r="L87" i="1"/>
  <c r="K87" i="1"/>
  <c r="J87" i="1"/>
  <c r="L86" i="1"/>
  <c r="K86" i="1"/>
  <c r="J86" i="1"/>
  <c r="L85" i="1"/>
  <c r="K85" i="1"/>
  <c r="J85" i="1"/>
  <c r="L84" i="1"/>
  <c r="K84" i="1"/>
  <c r="J84" i="1"/>
  <c r="L83" i="1"/>
  <c r="K83" i="1"/>
  <c r="J83" i="1"/>
  <c r="L82" i="1"/>
  <c r="K82" i="1"/>
  <c r="J82" i="1"/>
  <c r="L81" i="1"/>
  <c r="K81" i="1"/>
  <c r="J81" i="1"/>
  <c r="L80" i="1"/>
  <c r="K80" i="1"/>
  <c r="J80" i="1"/>
  <c r="L79" i="1"/>
  <c r="K79" i="1"/>
  <c r="J79" i="1"/>
  <c r="L78" i="1"/>
  <c r="K78" i="1"/>
  <c r="J78" i="1"/>
  <c r="L77" i="1"/>
  <c r="K77" i="1"/>
  <c r="J77" i="1"/>
  <c r="L76" i="1"/>
  <c r="K76" i="1"/>
  <c r="J76" i="1"/>
  <c r="L75" i="1"/>
  <c r="K75" i="1"/>
  <c r="J75" i="1"/>
  <c r="L74" i="1"/>
  <c r="K74" i="1"/>
  <c r="J74" i="1"/>
  <c r="L73" i="1"/>
  <c r="K73" i="1"/>
  <c r="J73" i="1"/>
  <c r="L72" i="1"/>
  <c r="K72" i="1"/>
  <c r="J72" i="1"/>
  <c r="L71" i="1"/>
  <c r="K71" i="1"/>
  <c r="J71" i="1"/>
  <c r="L70" i="1"/>
  <c r="K70" i="1"/>
  <c r="J70" i="1"/>
  <c r="L69" i="1"/>
  <c r="K69" i="1"/>
  <c r="J69" i="1"/>
  <c r="L68" i="1"/>
  <c r="K68" i="1"/>
  <c r="J68" i="1"/>
  <c r="L67" i="1"/>
  <c r="K67" i="1"/>
  <c r="J67" i="1"/>
  <c r="L66" i="1"/>
  <c r="K66" i="1"/>
  <c r="J66" i="1"/>
  <c r="L65" i="1"/>
  <c r="K65" i="1"/>
  <c r="J65" i="1"/>
  <c r="L64" i="1"/>
  <c r="K64" i="1"/>
  <c r="J64" i="1"/>
  <c r="L63" i="1"/>
  <c r="K63" i="1"/>
  <c r="J63" i="1"/>
  <c r="L62" i="1"/>
  <c r="K62" i="1"/>
  <c r="J62" i="1"/>
  <c r="L61" i="1"/>
  <c r="K61" i="1"/>
  <c r="J61" i="1"/>
  <c r="L60" i="1"/>
  <c r="K60" i="1"/>
  <c r="J60" i="1"/>
  <c r="L59" i="1"/>
  <c r="K59" i="1"/>
  <c r="J59" i="1"/>
  <c r="L58" i="1"/>
  <c r="K58" i="1"/>
  <c r="J58" i="1"/>
  <c r="L57" i="1"/>
  <c r="K57" i="1"/>
  <c r="J57" i="1"/>
  <c r="L56" i="1"/>
  <c r="K56" i="1"/>
  <c r="J56" i="1"/>
  <c r="L55" i="1"/>
  <c r="K55" i="1"/>
  <c r="J55" i="1"/>
  <c r="L54" i="1"/>
  <c r="K54" i="1"/>
  <c r="J54" i="1"/>
  <c r="L53" i="1"/>
  <c r="K53" i="1"/>
  <c r="J53" i="1"/>
  <c r="L52" i="1"/>
  <c r="K52" i="1"/>
  <c r="J52" i="1"/>
  <c r="L51" i="1"/>
  <c r="K51" i="1"/>
  <c r="J51" i="1"/>
  <c r="L50" i="1"/>
  <c r="K50" i="1"/>
  <c r="J50" i="1"/>
  <c r="L49" i="1"/>
  <c r="K49" i="1"/>
  <c r="J49" i="1"/>
  <c r="L48" i="1"/>
  <c r="K48" i="1"/>
  <c r="J48" i="1"/>
  <c r="L47" i="1"/>
  <c r="K47" i="1"/>
  <c r="J47" i="1"/>
  <c r="L46" i="1"/>
  <c r="K46" i="1"/>
  <c r="J46" i="1"/>
  <c r="L45" i="1"/>
  <c r="K45" i="1"/>
  <c r="J45" i="1"/>
  <c r="L44" i="1"/>
  <c r="K44" i="1"/>
  <c r="J44" i="1"/>
  <c r="L43" i="1"/>
  <c r="K43" i="1"/>
  <c r="J43" i="1"/>
  <c r="L42" i="1"/>
  <c r="K42" i="1"/>
  <c r="J42" i="1"/>
  <c r="L41" i="1"/>
  <c r="K41" i="1"/>
  <c r="J41" i="1"/>
  <c r="L40" i="1"/>
  <c r="K40" i="1"/>
  <c r="J40" i="1"/>
  <c r="L39" i="1"/>
  <c r="K39" i="1"/>
  <c r="J39" i="1"/>
  <c r="L38" i="1"/>
  <c r="K38" i="1"/>
  <c r="J38" i="1"/>
  <c r="L37" i="1"/>
  <c r="K37" i="1"/>
  <c r="J37" i="1"/>
  <c r="L36" i="1"/>
  <c r="K36" i="1"/>
  <c r="J36" i="1"/>
  <c r="L35" i="1"/>
  <c r="K35" i="1"/>
  <c r="J35" i="1"/>
  <c r="L34" i="1"/>
  <c r="K34" i="1"/>
  <c r="J34" i="1"/>
  <c r="L33" i="1"/>
  <c r="K33" i="1"/>
  <c r="J33" i="1"/>
  <c r="L32" i="1"/>
  <c r="K32" i="1"/>
  <c r="J32" i="1"/>
  <c r="L31" i="1"/>
  <c r="K31" i="1"/>
  <c r="J31" i="1"/>
  <c r="L30" i="1"/>
  <c r="K30" i="1"/>
  <c r="J30" i="1"/>
  <c r="L29" i="1"/>
  <c r="K29" i="1"/>
  <c r="J29" i="1"/>
  <c r="L28" i="1"/>
  <c r="K28" i="1"/>
  <c r="J28" i="1"/>
  <c r="L27" i="1"/>
  <c r="K27" i="1"/>
  <c r="J27" i="1"/>
  <c r="L26" i="1"/>
  <c r="K26" i="1"/>
  <c r="J26" i="1"/>
  <c r="L25" i="1"/>
  <c r="K25" i="1"/>
  <c r="J25" i="1"/>
  <c r="L24" i="1"/>
  <c r="K24" i="1"/>
  <c r="J24" i="1"/>
  <c r="L23" i="1"/>
  <c r="K23" i="1"/>
  <c r="J23" i="1"/>
  <c r="L22" i="1"/>
  <c r="K22" i="1"/>
  <c r="J22" i="1"/>
  <c r="L21" i="1"/>
  <c r="K21" i="1"/>
  <c r="J21" i="1"/>
  <c r="L20" i="1"/>
  <c r="K20" i="1"/>
  <c r="J20" i="1"/>
  <c r="J436" i="1"/>
  <c r="K436" i="1"/>
  <c r="L436" i="1"/>
  <c r="J435" i="1"/>
  <c r="K435" i="1"/>
  <c r="L435" i="1"/>
  <c r="J434" i="1"/>
  <c r="K434" i="1"/>
  <c r="L434" i="1"/>
  <c r="J433" i="1"/>
  <c r="K433" i="1"/>
  <c r="L433" i="1"/>
  <c r="J432" i="1"/>
  <c r="K432" i="1"/>
  <c r="L432" i="1"/>
  <c r="J431" i="1"/>
  <c r="K431" i="1"/>
  <c r="L431" i="1"/>
  <c r="J430" i="1"/>
  <c r="K430" i="1"/>
  <c r="L430" i="1"/>
  <c r="J19" i="1"/>
  <c r="K19" i="1"/>
  <c r="L19" i="1"/>
  <c r="J18" i="1"/>
  <c r="K18" i="1"/>
  <c r="L18" i="1"/>
  <c r="J17" i="1"/>
  <c r="K17" i="1"/>
  <c r="L17" i="1"/>
  <c r="J16" i="1"/>
  <c r="K16" i="1"/>
  <c r="L16" i="1"/>
  <c r="J15" i="1"/>
  <c r="K15" i="1"/>
  <c r="L15" i="1"/>
  <c r="J14" i="1"/>
  <c r="K14" i="1"/>
  <c r="L14" i="1"/>
  <c r="J13" i="1"/>
  <c r="K13" i="1"/>
  <c r="L13" i="1"/>
  <c r="J12" i="1"/>
  <c r="K12" i="1"/>
  <c r="L12" i="1"/>
  <c r="J11" i="1"/>
  <c r="K11" i="1"/>
  <c r="L11" i="1"/>
  <c r="J10" i="1"/>
  <c r="K10" i="1"/>
  <c r="L10" i="1"/>
  <c r="J9" i="1"/>
  <c r="K9" i="1"/>
  <c r="L9" i="1"/>
  <c r="J8" i="1"/>
  <c r="K8" i="1"/>
  <c r="L8" i="1"/>
  <c r="J7" i="1"/>
  <c r="K7" i="1"/>
  <c r="L7" i="1"/>
  <c r="J6" i="1"/>
  <c r="K6" i="1"/>
  <c r="L6" i="1"/>
  <c r="J5" i="1"/>
  <c r="K5" i="1"/>
  <c r="L5" i="1"/>
  <c r="J4" i="1"/>
  <c r="K4" i="1"/>
  <c r="L4" i="1"/>
  <c r="J3" i="1"/>
  <c r="K3" i="1"/>
  <c r="L3" i="1"/>
  <c r="J2" i="1"/>
  <c r="K2" i="1"/>
  <c r="L2" i="1"/>
  <c r="H51" i="2"/>
  <c r="I51" i="2"/>
  <c r="J51" i="2"/>
  <c r="H50" i="2"/>
  <c r="I50" i="2"/>
  <c r="J50" i="2"/>
  <c r="H49" i="2"/>
  <c r="I49" i="2"/>
  <c r="J49" i="2"/>
  <c r="H48" i="2"/>
  <c r="I48" i="2"/>
  <c r="J48" i="2"/>
  <c r="H47" i="2"/>
  <c r="I47" i="2"/>
  <c r="J47" i="2"/>
  <c r="H46" i="2"/>
  <c r="I46" i="2"/>
  <c r="J46" i="2"/>
  <c r="H45" i="2"/>
  <c r="I45" i="2"/>
  <c r="J45" i="2"/>
  <c r="H44" i="2"/>
  <c r="I44" i="2"/>
  <c r="J44" i="2"/>
  <c r="H43" i="2"/>
  <c r="I43" i="2"/>
  <c r="J43" i="2"/>
  <c r="H42" i="2"/>
  <c r="I42" i="2"/>
  <c r="J42" i="2"/>
  <c r="H41" i="2"/>
  <c r="I41" i="2"/>
  <c r="J41" i="2"/>
  <c r="H40" i="2"/>
  <c r="I40" i="2"/>
  <c r="J40" i="2"/>
  <c r="H39" i="2"/>
  <c r="I39" i="2"/>
  <c r="J39" i="2"/>
  <c r="H38" i="2"/>
  <c r="I38" i="2"/>
  <c r="J38" i="2"/>
  <c r="H37" i="2"/>
  <c r="I37" i="2"/>
  <c r="J37" i="2"/>
  <c r="H36" i="2"/>
  <c r="I36" i="2"/>
  <c r="J36" i="2"/>
  <c r="H35" i="2"/>
  <c r="I35" i="2"/>
  <c r="J35" i="2"/>
  <c r="H34" i="2"/>
  <c r="I34" i="2"/>
  <c r="J34" i="2"/>
  <c r="H33" i="2"/>
  <c r="I33" i="2"/>
  <c r="J33" i="2"/>
  <c r="H32" i="2"/>
  <c r="I32" i="2"/>
  <c r="J32" i="2"/>
  <c r="H31" i="2"/>
  <c r="I31" i="2"/>
  <c r="J31" i="2"/>
  <c r="H30" i="2"/>
  <c r="I30" i="2"/>
  <c r="J30" i="2"/>
  <c r="H29" i="2"/>
  <c r="I29" i="2"/>
  <c r="J29" i="2"/>
  <c r="H28" i="2"/>
  <c r="I28" i="2"/>
  <c r="J28" i="2"/>
  <c r="H27" i="2"/>
  <c r="I27" i="2"/>
  <c r="J27" i="2"/>
  <c r="H26" i="2"/>
  <c r="I26" i="2"/>
  <c r="J26" i="2"/>
  <c r="H25" i="2"/>
  <c r="I25" i="2"/>
  <c r="J25" i="2"/>
  <c r="H24" i="2"/>
  <c r="I24" i="2"/>
  <c r="J24" i="2"/>
  <c r="H23" i="2"/>
  <c r="I23" i="2"/>
  <c r="J23" i="2"/>
  <c r="H22" i="2"/>
  <c r="I22" i="2"/>
  <c r="J22" i="2"/>
  <c r="H21" i="2"/>
  <c r="I21" i="2"/>
  <c r="J21" i="2"/>
  <c r="H20" i="2"/>
  <c r="I20" i="2"/>
  <c r="J20" i="2"/>
  <c r="H19" i="2"/>
  <c r="I19" i="2"/>
  <c r="J19" i="2"/>
  <c r="H18" i="2"/>
  <c r="I18" i="2"/>
  <c r="J18" i="2"/>
  <c r="H17" i="2"/>
  <c r="I17" i="2"/>
  <c r="J17" i="2"/>
  <c r="H16" i="2"/>
  <c r="I16" i="2"/>
  <c r="J16" i="2"/>
  <c r="H15" i="2"/>
  <c r="I15" i="2"/>
  <c r="J15" i="2"/>
  <c r="H14" i="2"/>
  <c r="I14" i="2"/>
  <c r="J14" i="2"/>
  <c r="H13" i="2"/>
  <c r="I13" i="2"/>
  <c r="J13" i="2"/>
  <c r="H12" i="2"/>
  <c r="I12" i="2"/>
  <c r="J12" i="2"/>
  <c r="H11" i="2"/>
  <c r="I11" i="2"/>
  <c r="J11" i="2"/>
  <c r="H10" i="2"/>
  <c r="I10" i="2"/>
  <c r="J10" i="2"/>
  <c r="H9" i="2"/>
  <c r="I9" i="2"/>
  <c r="J9" i="2"/>
  <c r="H8" i="2"/>
  <c r="I8" i="2"/>
  <c r="J8" i="2"/>
  <c r="H7" i="2"/>
  <c r="I7" i="2"/>
  <c r="J7" i="2"/>
  <c r="H6" i="2"/>
  <c r="I6" i="2"/>
  <c r="J6" i="2"/>
  <c r="H5" i="2"/>
  <c r="I5" i="2"/>
  <c r="J5" i="2"/>
  <c r="H4" i="2"/>
  <c r="I4" i="2"/>
  <c r="J4" i="2"/>
  <c r="H3" i="2"/>
  <c r="I3" i="2"/>
  <c r="J3" i="2"/>
  <c r="H2" i="2"/>
  <c r="I2" i="2"/>
  <c r="J2" i="2"/>
  <c r="B51" i="2"/>
  <c r="C51" i="2"/>
  <c r="D51" i="2"/>
  <c r="E51" i="2"/>
  <c r="F51" i="2"/>
  <c r="G51" i="2"/>
  <c r="B50" i="2"/>
  <c r="C50" i="2"/>
  <c r="D50" i="2"/>
  <c r="E50" i="2"/>
  <c r="F50" i="2"/>
  <c r="G50" i="2"/>
  <c r="B49" i="2"/>
  <c r="C49" i="2"/>
  <c r="D49" i="2"/>
  <c r="E49" i="2"/>
  <c r="F49" i="2"/>
  <c r="G49" i="2"/>
  <c r="B48" i="2"/>
  <c r="C48" i="2"/>
  <c r="D48" i="2"/>
  <c r="E48" i="2"/>
  <c r="F48" i="2"/>
  <c r="G48" i="2"/>
  <c r="B47" i="2"/>
  <c r="C47" i="2"/>
  <c r="D47" i="2"/>
  <c r="E47" i="2"/>
  <c r="F47" i="2"/>
  <c r="G47" i="2"/>
  <c r="B46" i="2"/>
  <c r="C46" i="2"/>
  <c r="D46" i="2"/>
  <c r="E46" i="2"/>
  <c r="F46" i="2"/>
  <c r="G46" i="2"/>
  <c r="B45" i="2"/>
  <c r="C45" i="2"/>
  <c r="D45" i="2"/>
  <c r="E45" i="2"/>
  <c r="F45" i="2"/>
  <c r="G45" i="2"/>
  <c r="B44" i="2"/>
  <c r="C44" i="2"/>
  <c r="D44" i="2"/>
  <c r="E44" i="2"/>
  <c r="F44" i="2"/>
  <c r="G44" i="2"/>
  <c r="B43" i="2"/>
  <c r="C43" i="2"/>
  <c r="D43" i="2"/>
  <c r="E43" i="2"/>
  <c r="F43" i="2"/>
  <c r="G43" i="2"/>
  <c r="B42" i="2"/>
  <c r="C42" i="2"/>
  <c r="D42" i="2"/>
  <c r="E42" i="2"/>
  <c r="F42" i="2"/>
  <c r="G42" i="2"/>
  <c r="B41" i="2"/>
  <c r="C41" i="2"/>
  <c r="D41" i="2"/>
  <c r="E41" i="2"/>
  <c r="F41" i="2"/>
  <c r="G41" i="2"/>
  <c r="B40" i="2"/>
  <c r="C40" i="2"/>
  <c r="D40" i="2"/>
  <c r="E40" i="2"/>
  <c r="F40" i="2"/>
  <c r="G40" i="2"/>
  <c r="B39" i="2"/>
  <c r="C39" i="2"/>
  <c r="D39" i="2"/>
  <c r="E39" i="2"/>
  <c r="F39" i="2"/>
  <c r="G39" i="2"/>
  <c r="B38" i="2"/>
  <c r="C38" i="2"/>
  <c r="D38" i="2"/>
  <c r="E38" i="2"/>
  <c r="F38" i="2"/>
  <c r="G38" i="2"/>
  <c r="B37" i="2"/>
  <c r="C37" i="2"/>
  <c r="D37" i="2"/>
  <c r="E37" i="2"/>
  <c r="F37" i="2"/>
  <c r="G37" i="2"/>
  <c r="B36" i="2"/>
  <c r="C36" i="2"/>
  <c r="D36" i="2"/>
  <c r="E36" i="2"/>
  <c r="F36" i="2"/>
  <c r="G36" i="2"/>
  <c r="B35" i="2"/>
  <c r="C35" i="2"/>
  <c r="D35" i="2"/>
  <c r="E35" i="2"/>
  <c r="F35" i="2"/>
  <c r="G35" i="2"/>
  <c r="B34" i="2"/>
  <c r="C34" i="2"/>
  <c r="D34" i="2"/>
  <c r="E34" i="2"/>
  <c r="F34" i="2"/>
  <c r="G34" i="2"/>
  <c r="B33" i="2"/>
  <c r="C33" i="2"/>
  <c r="D33" i="2"/>
  <c r="E33" i="2"/>
  <c r="F33" i="2"/>
  <c r="G33" i="2"/>
  <c r="B32" i="2"/>
  <c r="C32" i="2"/>
  <c r="D32" i="2"/>
  <c r="E32" i="2"/>
  <c r="F32" i="2"/>
  <c r="G32" i="2"/>
  <c r="B31" i="2"/>
  <c r="C31" i="2"/>
  <c r="D31" i="2"/>
  <c r="E31" i="2"/>
  <c r="F31" i="2"/>
  <c r="G31" i="2"/>
  <c r="B30" i="2"/>
  <c r="C30" i="2"/>
  <c r="D30" i="2"/>
  <c r="E30" i="2"/>
  <c r="F30" i="2"/>
  <c r="G30" i="2"/>
  <c r="B29" i="2"/>
  <c r="C29" i="2"/>
  <c r="D29" i="2"/>
  <c r="E29" i="2"/>
  <c r="F29" i="2"/>
  <c r="G29" i="2"/>
  <c r="B28" i="2"/>
  <c r="C28" i="2"/>
  <c r="D28" i="2"/>
  <c r="E28" i="2"/>
  <c r="F28" i="2"/>
  <c r="G28" i="2"/>
  <c r="B27" i="2"/>
  <c r="C27" i="2"/>
  <c r="D27" i="2"/>
  <c r="E27" i="2"/>
  <c r="F27" i="2"/>
  <c r="G27" i="2"/>
  <c r="B26" i="2"/>
  <c r="C26" i="2"/>
  <c r="D26" i="2"/>
  <c r="E26" i="2"/>
  <c r="F26" i="2"/>
  <c r="G26" i="2"/>
  <c r="B25" i="2"/>
  <c r="C25" i="2"/>
  <c r="D25" i="2"/>
  <c r="E25" i="2"/>
  <c r="F25" i="2"/>
  <c r="G25" i="2"/>
  <c r="B24" i="2"/>
  <c r="C24" i="2"/>
  <c r="D24" i="2"/>
  <c r="E24" i="2"/>
  <c r="F24" i="2"/>
  <c r="G24" i="2"/>
  <c r="B23" i="2"/>
  <c r="C23" i="2"/>
  <c r="D23" i="2"/>
  <c r="E23" i="2"/>
  <c r="F23" i="2"/>
  <c r="G23" i="2"/>
  <c r="B22" i="2"/>
  <c r="C22" i="2"/>
  <c r="D22" i="2"/>
  <c r="E22" i="2"/>
  <c r="F22" i="2"/>
  <c r="G22" i="2"/>
  <c r="B21" i="2"/>
  <c r="C21" i="2"/>
  <c r="D21" i="2"/>
  <c r="E21" i="2"/>
  <c r="F21" i="2"/>
  <c r="G21" i="2"/>
  <c r="B20" i="2"/>
  <c r="C20" i="2"/>
  <c r="D20" i="2"/>
  <c r="E20" i="2"/>
  <c r="F20" i="2"/>
  <c r="G20" i="2"/>
  <c r="B19" i="2"/>
  <c r="C19" i="2"/>
  <c r="D19" i="2"/>
  <c r="E19" i="2"/>
  <c r="F19" i="2"/>
  <c r="G19" i="2"/>
  <c r="B18" i="2"/>
  <c r="C18" i="2"/>
  <c r="D18" i="2"/>
  <c r="E18" i="2"/>
  <c r="F18" i="2"/>
  <c r="G18" i="2"/>
  <c r="B17" i="2"/>
  <c r="C17" i="2"/>
  <c r="D17" i="2"/>
  <c r="E17" i="2"/>
  <c r="F17" i="2"/>
  <c r="G17" i="2"/>
  <c r="B16" i="2"/>
  <c r="C16" i="2"/>
  <c r="D16" i="2"/>
  <c r="E16" i="2"/>
  <c r="F16" i="2"/>
  <c r="G16" i="2"/>
  <c r="B15" i="2"/>
  <c r="C15" i="2"/>
  <c r="D15" i="2"/>
  <c r="E15" i="2"/>
  <c r="F15" i="2"/>
  <c r="G15" i="2"/>
  <c r="B14" i="2"/>
  <c r="C14" i="2"/>
  <c r="D14" i="2"/>
  <c r="E14" i="2"/>
  <c r="F14" i="2"/>
  <c r="G14" i="2"/>
  <c r="B13" i="2"/>
  <c r="C13" i="2"/>
  <c r="D13" i="2"/>
  <c r="E13" i="2"/>
  <c r="F13" i="2"/>
  <c r="G13" i="2"/>
  <c r="B12" i="2"/>
  <c r="C12" i="2"/>
  <c r="D12" i="2"/>
  <c r="E12" i="2"/>
  <c r="F12" i="2"/>
  <c r="G12" i="2"/>
  <c r="B11" i="2"/>
  <c r="C11" i="2"/>
  <c r="D11" i="2"/>
  <c r="E11" i="2"/>
  <c r="F11" i="2"/>
  <c r="G11" i="2"/>
  <c r="B10" i="2"/>
  <c r="C10" i="2"/>
  <c r="D10" i="2"/>
  <c r="E10" i="2"/>
  <c r="F10" i="2"/>
  <c r="G10" i="2"/>
  <c r="B9" i="2"/>
  <c r="C9" i="2"/>
  <c r="D9" i="2"/>
  <c r="E9" i="2"/>
  <c r="F9" i="2"/>
  <c r="G9" i="2"/>
  <c r="B8" i="2"/>
  <c r="C8" i="2"/>
  <c r="D8" i="2"/>
  <c r="E8" i="2"/>
  <c r="F8" i="2"/>
  <c r="G8" i="2"/>
  <c r="B7" i="2"/>
  <c r="C7" i="2"/>
  <c r="D7" i="2"/>
  <c r="E7" i="2"/>
  <c r="F7" i="2"/>
  <c r="G7" i="2"/>
  <c r="B6" i="2"/>
  <c r="C6" i="2"/>
  <c r="D6" i="2"/>
  <c r="E6" i="2"/>
  <c r="F6" i="2"/>
  <c r="G6" i="2"/>
  <c r="B5" i="2"/>
  <c r="C5" i="2"/>
  <c r="D5" i="2"/>
  <c r="E5" i="2"/>
  <c r="F5" i="2"/>
  <c r="G5" i="2"/>
  <c r="B4" i="2"/>
  <c r="C4" i="2"/>
  <c r="D4" i="2"/>
  <c r="E4" i="2"/>
  <c r="F4" i="2"/>
  <c r="G4" i="2"/>
  <c r="B3" i="2"/>
  <c r="C3" i="2"/>
  <c r="D3" i="2"/>
  <c r="E3" i="2"/>
  <c r="F3" i="2"/>
  <c r="G3" i="2"/>
  <c r="B2" i="2"/>
  <c r="C2" i="2"/>
  <c r="D2" i="2"/>
  <c r="E2" i="2"/>
  <c r="F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A058BF-6B73-DA4A-83E0-17248CADD1AC}" name="house" type="6" refreshedVersion="8" background="1" saveData="1">
    <textPr codePage="10000" sourceFile="/Users/davisliggett/MapWiseResearch/forecasting/forecast_code/data/house.csv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<sst xmlns="http://schemas.openxmlformats.org/spreadsheetml/2006/main" count="942" uniqueCount="497">
  <si>
    <t>District Code</t>
  </si>
  <si>
    <t>District</t>
  </si>
  <si>
    <t>State</t>
  </si>
  <si>
    <t>AK-01</t>
  </si>
  <si>
    <t>AK</t>
  </si>
  <si>
    <t>AL-01</t>
  </si>
  <si>
    <t>AL</t>
  </si>
  <si>
    <t>AL-02</t>
  </si>
  <si>
    <t>AL-03</t>
  </si>
  <si>
    <t>AL-04</t>
  </si>
  <si>
    <t>AL-05</t>
  </si>
  <si>
    <t>AL-06</t>
  </si>
  <si>
    <t>AL-07</t>
  </si>
  <si>
    <t>AR-01</t>
  </si>
  <si>
    <t>AR</t>
  </si>
  <si>
    <t>AR-02</t>
  </si>
  <si>
    <t>AR-03</t>
  </si>
  <si>
    <t>AR-04</t>
  </si>
  <si>
    <t>AZ-01</t>
  </si>
  <si>
    <t>AZ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</si>
  <si>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</si>
  <si>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</si>
  <si>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</si>
  <si>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</si>
  <si>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</si>
  <si>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</si>
  <si>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</si>
  <si>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</si>
  <si>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</si>
  <si>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</si>
  <si>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</si>
  <si>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</si>
  <si>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</si>
  <si>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</si>
  <si>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</si>
  <si>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</si>
  <si>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</si>
  <si>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</si>
  <si>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</si>
  <si>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</si>
  <si>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</si>
  <si>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</si>
  <si>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</si>
  <si>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</si>
  <si>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</si>
  <si>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</si>
  <si>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</si>
  <si>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</si>
  <si>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</si>
  <si>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</si>
  <si>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</si>
  <si>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</si>
  <si>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</si>
  <si>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</si>
  <si>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</si>
  <si>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</si>
  <si>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</si>
  <si>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</si>
  <si>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</si>
  <si>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</si>
  <si>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</si>
  <si>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</si>
  <si>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</si>
  <si>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</si>
  <si>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</si>
  <si>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</si>
  <si>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</si>
  <si>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</si>
  <si>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</si>
  <si>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</si>
  <si>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</si>
  <si>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</si>
  <si>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</si>
  <si>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</si>
  <si>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</si>
  <si>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</si>
  <si>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</si>
  <si>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</si>
  <si>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</si>
  <si>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</si>
  <si>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</si>
  <si>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</si>
  <si>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</si>
  <si>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</si>
  <si>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</si>
  <si>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</si>
  <si>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</si>
  <si>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</si>
  <si>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</si>
  <si>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</si>
  <si>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</si>
  <si>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</t>
  </si>
  <si>
    <t>CT-02</t>
  </si>
  <si>
    <t>CT-03</t>
  </si>
  <si>
    <t>CT-04</t>
  </si>
  <si>
    <t>CT-05</t>
  </si>
  <si>
    <t>DE-01</t>
  </si>
  <si>
    <t>DE</t>
  </si>
  <si>
    <t>FL-01</t>
  </si>
  <si>
    <t>FL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</si>
  <si>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</si>
  <si>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</si>
  <si>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</si>
  <si>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</si>
  <si>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</si>
  <si>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</si>
  <si>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</si>
  <si>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</si>
  <si>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</si>
  <si>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</si>
  <si>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</si>
  <si>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</si>
  <si>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</si>
  <si>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</si>
  <si>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</si>
  <si>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</si>
  <si>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</si>
  <si>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</si>
  <si>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</si>
  <si>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</si>
  <si>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</si>
  <si>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</si>
  <si>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</si>
  <si>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</si>
  <si>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</si>
  <si>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</si>
  <si>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</si>
  <si>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</si>
  <si>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</si>
  <si>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</si>
  <si>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</si>
  <si>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</si>
  <si>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</si>
  <si>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</si>
  <si>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</si>
  <si>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</si>
  <si>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</si>
  <si>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</si>
  <si>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</si>
  <si>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</si>
  <si>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</si>
  <si>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</si>
  <si>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</si>
  <si>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</t>
  </si>
  <si>
    <t>HI-02</t>
  </si>
  <si>
    <t>IA-01</t>
  </si>
  <si>
    <t>IA</t>
  </si>
  <si>
    <t>IA-02</t>
  </si>
  <si>
    <t>IA-03</t>
  </si>
  <si>
    <t>IA-04</t>
  </si>
  <si>
    <t>ID-01</t>
  </si>
  <si>
    <t>ID</t>
  </si>
  <si>
    <t>ID-02</t>
  </si>
  <si>
    <t>IL-01</t>
  </si>
  <si>
    <t>IL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</si>
  <si>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</si>
  <si>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</si>
  <si>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</si>
  <si>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</si>
  <si>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</si>
  <si>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</si>
  <si>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</si>
  <si>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</si>
  <si>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</si>
  <si>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</si>
  <si>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</si>
  <si>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</si>
  <si>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</si>
  <si>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</si>
  <si>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</si>
  <si>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</si>
  <si>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IN-01</t>
  </si>
  <si>
    <t>IN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</si>
  <si>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</si>
  <si>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</si>
  <si>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</si>
  <si>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</si>
  <si>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</si>
  <si>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</si>
  <si>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</si>
  <si>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</si>
  <si>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</si>
  <si>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</t>
  </si>
  <si>
    <t>KS-02</t>
  </si>
  <si>
    <t>KS-03</t>
  </si>
  <si>
    <t>KS-04</t>
  </si>
  <si>
    <t>KY-01</t>
  </si>
  <si>
    <t>KY</t>
  </si>
  <si>
    <t>KY-02</t>
  </si>
  <si>
    <t>KY-03</t>
  </si>
  <si>
    <t>KY-04</t>
  </si>
  <si>
    <t>KY-05</t>
  </si>
  <si>
    <t>KY-06</t>
  </si>
  <si>
    <t>LA-01</t>
  </si>
  <si>
    <t>LA</t>
  </si>
  <si>
    <t>LA-02</t>
  </si>
  <si>
    <t>LA-03</t>
  </si>
  <si>
    <t>LA-04</t>
  </si>
  <si>
    <t>LA-05</t>
  </si>
  <si>
    <t>LA-06</t>
  </si>
  <si>
    <t>MA-01</t>
  </si>
  <si>
    <t>MA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</si>
  <si>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</si>
  <si>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</si>
  <si>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</si>
  <si>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</si>
  <si>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</si>
  <si>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</si>
  <si>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</si>
  <si>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</si>
  <si>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</si>
  <si>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</si>
  <si>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</si>
  <si>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</si>
  <si>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</si>
  <si>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</si>
  <si>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</si>
  <si>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</si>
  <si>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</si>
  <si>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</si>
  <si>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</t>
  </si>
  <si>
    <t>ME-02</t>
  </si>
  <si>
    <t>MI-01</t>
  </si>
  <si>
    <t>MI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</si>
  <si>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</si>
  <si>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</si>
  <si>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</si>
  <si>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</si>
  <si>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</si>
  <si>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</si>
  <si>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</si>
  <si>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</si>
  <si>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</si>
  <si>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</si>
  <si>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</si>
  <si>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</si>
  <si>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</si>
  <si>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</si>
  <si>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</si>
  <si>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</si>
  <si>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</si>
  <si>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</si>
  <si>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</si>
  <si>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</si>
  <si>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</si>
  <si>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</si>
  <si>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</si>
  <si>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</si>
  <si>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</si>
  <si>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</si>
  <si>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</si>
  <si>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</si>
  <si>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</si>
  <si>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</si>
  <si>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</si>
  <si>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</t>
  </si>
  <si>
    <t>MS-02</t>
  </si>
  <si>
    <t>MS-03</t>
  </si>
  <si>
    <t>MS-04</t>
  </si>
  <si>
    <t>MT-01</t>
  </si>
  <si>
    <t>MT</t>
  </si>
  <si>
    <t>MT-02</t>
  </si>
  <si>
    <t>NC-01</t>
  </si>
  <si>
    <t>NC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</si>
  <si>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</si>
  <si>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</si>
  <si>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</si>
  <si>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</si>
  <si>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</si>
  <si>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</si>
  <si>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</si>
  <si>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</si>
  <si>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</si>
  <si>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</si>
  <si>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</si>
  <si>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</si>
  <si>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</si>
  <si>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ND-01</t>
  </si>
  <si>
    <t>ND</t>
  </si>
  <si>
    <t>NE-01</t>
  </si>
  <si>
    <t>NE</t>
  </si>
  <si>
    <t>NE-02</t>
  </si>
  <si>
    <t>NE-03</t>
  </si>
  <si>
    <t>NH-01</t>
  </si>
  <si>
    <t>NH</t>
  </si>
  <si>
    <t>NH-02</t>
  </si>
  <si>
    <t>NJ-01</t>
  </si>
  <si>
    <t>NJ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</si>
  <si>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</si>
  <si>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</si>
  <si>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</si>
  <si>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</si>
  <si>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</si>
  <si>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</si>
  <si>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</si>
  <si>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</si>
  <si>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</si>
  <si>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</si>
  <si>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</si>
  <si>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</si>
  <si>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</t>
  </si>
  <si>
    <t>NM-02</t>
  </si>
  <si>
    <t>NM-03</t>
  </si>
  <si>
    <t>NV-01</t>
  </si>
  <si>
    <t>NV</t>
  </si>
  <si>
    <t>NV-02</t>
  </si>
  <si>
    <t>NV-03</t>
  </si>
  <si>
    <t>NV-04</t>
  </si>
  <si>
    <t>NY-01</t>
  </si>
  <si>
    <t>NY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</si>
  <si>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</si>
  <si>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</si>
  <si>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</si>
  <si>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</si>
  <si>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</si>
  <si>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</si>
  <si>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</si>
  <si>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</si>
  <si>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</si>
  <si>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</si>
  <si>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</si>
  <si>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</si>
  <si>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</si>
  <si>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</si>
  <si>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</si>
  <si>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</si>
  <si>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</si>
  <si>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</si>
  <si>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</si>
  <si>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</si>
  <si>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</si>
  <si>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</si>
  <si>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</si>
  <si>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</si>
  <si>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</si>
  <si>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</si>
  <si>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</si>
  <si>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</si>
  <si>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</si>
  <si>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</si>
  <si>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</si>
  <si>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</si>
  <si>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</si>
  <si>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</si>
  <si>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</si>
  <si>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</si>
  <si>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</si>
  <si>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</si>
  <si>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</si>
  <si>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</si>
  <si>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</si>
  <si>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</si>
  <si>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</t>
  </si>
  <si>
    <t>OK-02</t>
  </si>
  <si>
    <t>OK-03</t>
  </si>
  <si>
    <t>OK-04</t>
  </si>
  <si>
    <t>OK-05</t>
  </si>
  <si>
    <t>OR-01</t>
  </si>
  <si>
    <t>OR</t>
  </si>
  <si>
    <t>OR-02</t>
  </si>
  <si>
    <t>OR-03</t>
  </si>
  <si>
    <t>OR-04</t>
  </si>
  <si>
    <t>OR-05</t>
  </si>
  <si>
    <t>OR-06</t>
  </si>
  <si>
    <t>PA-01</t>
  </si>
  <si>
    <t>PA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</si>
  <si>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</si>
  <si>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</si>
  <si>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</si>
  <si>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</si>
  <si>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</si>
  <si>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</si>
  <si>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</si>
  <si>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</si>
  <si>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</si>
  <si>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</si>
  <si>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</si>
  <si>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</si>
  <si>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</si>
  <si>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</si>
  <si>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</si>
  <si>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</si>
  <si>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</si>
  <si>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</t>
  </si>
  <si>
    <t>RI-02</t>
  </si>
  <si>
    <t>SC-01</t>
  </si>
  <si>
    <t>SC</t>
  </si>
  <si>
    <t>SC-02</t>
  </si>
  <si>
    <t>SC-03</t>
  </si>
  <si>
    <t>SC-04</t>
  </si>
  <si>
    <t>SC-05</t>
  </si>
  <si>
    <t>SC-06</t>
  </si>
  <si>
    <t>SC-07</t>
  </si>
  <si>
    <t>SD-01</t>
  </si>
  <si>
    <t>SD</t>
  </si>
  <si>
    <t>TN-01</t>
  </si>
  <si>
    <t>TN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</si>
  <si>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</si>
  <si>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</si>
  <si>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</si>
  <si>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</si>
  <si>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</si>
  <si>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</si>
  <si>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</si>
  <si>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</si>
  <si>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</si>
  <si>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</si>
  <si>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</si>
  <si>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</si>
  <si>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</si>
  <si>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</si>
  <si>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</si>
  <si>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</si>
  <si>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</si>
  <si>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</si>
  <si>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</si>
  <si>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</si>
  <si>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</si>
  <si>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</si>
  <si>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</si>
  <si>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</si>
  <si>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</si>
  <si>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</si>
  <si>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</si>
  <si>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</si>
  <si>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</si>
  <si>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</si>
  <si>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</si>
  <si>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</si>
  <si>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</si>
  <si>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</si>
  <si>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</si>
  <si>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</si>
  <si>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</si>
  <si>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</si>
  <si>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</si>
  <si>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</si>
  <si>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</si>
  <si>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</si>
  <si>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</si>
  <si>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</si>
  <si>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</si>
  <si>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</si>
  <si>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</si>
  <si>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</si>
  <si>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</t>
  </si>
  <si>
    <t>UT-02</t>
  </si>
  <si>
    <t>UT-03</t>
  </si>
  <si>
    <t>UT-04</t>
  </si>
  <si>
    <t>VA-01</t>
  </si>
  <si>
    <t>VA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</si>
  <si>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</si>
  <si>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</si>
  <si>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</si>
  <si>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</si>
  <si>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</si>
  <si>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</si>
  <si>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</si>
  <si>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</si>
  <si>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</si>
  <si>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</si>
  <si>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VT-01</t>
  </si>
  <si>
    <t>VT</t>
  </si>
  <si>
    <t>WA-01</t>
  </si>
  <si>
    <t>WA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</si>
  <si>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</si>
  <si>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</si>
  <si>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</si>
  <si>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</si>
  <si>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</si>
  <si>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</si>
  <si>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</si>
  <si>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</si>
  <si>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</si>
  <si>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</si>
  <si>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</si>
  <si>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</si>
  <si>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</si>
  <si>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</si>
  <si>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</si>
  <si>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</si>
  <si>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</si>
  <si>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</si>
  <si>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</si>
  <si>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</t>
  </si>
  <si>
    <t>WV-02</t>
  </si>
  <si>
    <t>WY-01</t>
  </si>
  <si>
    <t>WY</t>
  </si>
  <si>
    <t>Trump '16</t>
  </si>
  <si>
    <t>Clinton '16</t>
  </si>
  <si>
    <t>Trump '20</t>
  </si>
  <si>
    <t>Biden '20</t>
  </si>
  <si>
    <t>Trump '24</t>
  </si>
  <si>
    <t>Harris '24</t>
  </si>
  <si>
    <t>Margin '16</t>
  </si>
  <si>
    <t>Margin '20</t>
  </si>
  <si>
    <t>Margin '24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</si>
</sst>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;\-0.000000000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2" borderId="0" xfId="0" applyFont="1" applyFill="1"/>
    <xf numFmtId="3" fontId="0" fillId="0" borderId="0" xfId="0" applyNumberFormat="1"/>
    <xf numFmtId="0" fontId="4" fillId="0" borderId="0" xfId="0" applyFont="1"/>
    <xf numFmtId="169" fontId="0" fillId="0" borderId="0" xfId="0" applyNumberFormat="1"/>
    <xf numFmtId="169" fontId="3" fillId="0" borderId="0" xfId="0" applyNumberFormat="1" applyFont="1"/>
  </cellXfs>
  <cellStyles count="1">
    <cellStyle name="Normal" xfId="0" builtinId="0"/>
  </cellStyles>
  <dxfs count="6"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use" connectionId="1" xr16:uid="{A86D1B68-3E2D-D443-B8EF-31695A9689D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6F48F1-0509-3442-8961-F0288BAE13D8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AA17-E503-724E-A2A1-0F51724DCEA8}">
  <dimension ref="A1:N439"/>
  <sheetViews>
    <sheetView topLeftCell="A17" workbookViewId="0">
      <selection activeCell="J19" sqref="J19:L429"/>
    </sheetView>
  </sheetViews>
  <sheetFormatPr baseColWidth="10" defaultRowHeight="16" x14ac:dyDescent="0.2"/>
  <cols>
    <col min="1" max="1" width="5.5" bestFit="1" customWidth="1"/>
    <col min="2" max="2" width="7.33203125" bestFit="1" customWidth="1"/>
    <col min="3" max="3" width="12" bestFit="1" customWidth="1"/>
    <col min="4" max="4" width="8.83203125" bestFit="1" customWidth="1"/>
    <col min="5" max="5" width="9.83203125" bestFit="1" customWidth="1"/>
    <col min="6" max="6" width="8.83203125" bestFit="1" customWidth="1"/>
    <col min="7" max="7" width="8.5" bestFit="1" customWidth="1"/>
    <col min="8" max="9" width="8.83203125" bestFit="1" customWidth="1"/>
    <col min="10" max="11" width="14.33203125" bestFit="1" customWidth="1"/>
    <col min="12" max="12" width="14.1640625" bestFit="1" customWidth="1"/>
  </cols>
  <sheetData>
    <row r="1" spans="1:14" x14ac:dyDescent="0.2">
      <c r="A1" t="s">
        <v>2</v>
      </c>
      <c r="B1" t="s">
        <v>1</v>
      </c>
      <c r="C1" t="s">
        <v>0</v>
      </c>
      <c r="D1" t="s">
        <v>488</v>
      </c>
      <c r="E1" t="s">
        <v>489</v>
      </c>
      <c r="F1" t="s">
        <v>490</v>
      </c>
      <c r="G1" t="s">
        <v>491</v>
      </c>
      <c r="H1" t="s">
        <v>492</v>
      </c>
      <c r="I1" t="s">
        <v>493</v>
      </c>
      <c r="J1" s="3" t="s">
        <v>494</v>
      </c>
      <c r="K1" s="3" t="s">
        <v>495</v>
      </c>
      <c r="L1" s="6" t="s">
        <v>496</v>
      </c>
      <c r="M1" s="1"/>
      <c r="N1" s="1"/>
    </row>
    <row r="2" spans="1:14" x14ac:dyDescent="0.2">
      <c r="A2" t="s">
        <v>4</v>
      </c>
      <c r="B2">
        <v>1</v>
      </c>
      <c r="C2" t="s">
        <v>3</v>
      </c>
      <c r="D2">
        <v>163387</v>
      </c>
      <c r="E2">
        <v>116454</v>
      </c>
      <c r="F2">
        <v>189951</v>
      </c>
      <c r="G2">
        <v>153778</v>
      </c>
      <c r="H2">
        <v>184458</v>
      </c>
      <c r="I2">
        <v>140026</v>
      </c>
      <c r="J2" s="7">
        <f>(E2-D2)/(E2+D2)*100</f>
        <v>-16.771309422136142</v>
      </c>
      <c r="K2" s="7">
        <f>(G2-F2)/(G2+F2)*100</f>
        <v>-10.523697447698623</v>
      </c>
      <c r="L2" s="8">
        <f>(I2-H2)/(I2+H2)*100</f>
        <v>-13.693125084749941</v>
      </c>
      <c r="M2" s="2"/>
      <c r="N2" s="2"/>
    </row>
    <row r="3" spans="1:14" x14ac:dyDescent="0.2">
      <c r="A3" t="s">
        <v>6</v>
      </c>
      <c r="B3">
        <v>1</v>
      </c>
      <c r="C3" t="s">
        <v>5</v>
      </c>
      <c r="D3">
        <v>219528</v>
      </c>
      <c r="E3">
        <v>64543</v>
      </c>
      <c r="F3">
        <v>242615</v>
      </c>
      <c r="G3">
        <v>79475</v>
      </c>
      <c r="H3">
        <v>257309</v>
      </c>
      <c r="I3">
        <v>73202</v>
      </c>
      <c r="J3" s="7">
        <f>(E3-D3)/(E3+D3)*100</f>
        <v>-54.558543462725872</v>
      </c>
      <c r="K3" s="7">
        <f>(G3-F3)/(G3+F3)*100</f>
        <v>-50.650439318202992</v>
      </c>
      <c r="L3" s="8">
        <f>(I3-H3)/(I3+H3)*100</f>
        <v>-55.703743597036102</v>
      </c>
      <c r="M3" s="2"/>
      <c r="N3" s="2"/>
    </row>
    <row r="4" spans="1:14" x14ac:dyDescent="0.2">
      <c r="A4" t="s">
        <v>6</v>
      </c>
      <c r="B4">
        <v>2</v>
      </c>
      <c r="C4" t="s">
        <v>7</v>
      </c>
      <c r="D4">
        <v>132446</v>
      </c>
      <c r="E4">
        <v>162800</v>
      </c>
      <c r="F4">
        <v>136081</v>
      </c>
      <c r="G4">
        <v>173588</v>
      </c>
      <c r="H4">
        <v>131501</v>
      </c>
      <c r="I4">
        <v>155343</v>
      </c>
      <c r="J4" s="7">
        <f>(E4-D4)/(E4+D4)*100</f>
        <v>10.280918285091078</v>
      </c>
      <c r="K4" s="7">
        <f>(G4-F4)/(G4+F4)*100</f>
        <v>12.111964710707239</v>
      </c>
      <c r="L4" s="8">
        <f>(I4-H4)/(I4+H4)*100</f>
        <v>8.3118350043926306</v>
      </c>
      <c r="M4" s="2"/>
      <c r="N4" s="2"/>
    </row>
    <row r="5" spans="1:14" x14ac:dyDescent="0.2">
      <c r="A5" t="s">
        <v>6</v>
      </c>
      <c r="B5">
        <v>3</v>
      </c>
      <c r="C5" t="s">
        <v>8</v>
      </c>
      <c r="D5">
        <v>200498</v>
      </c>
      <c r="E5">
        <v>79534</v>
      </c>
      <c r="F5">
        <v>225369</v>
      </c>
      <c r="G5">
        <v>93350</v>
      </c>
      <c r="H5">
        <v>230168</v>
      </c>
      <c r="I5">
        <v>82876</v>
      </c>
      <c r="J5" s="7">
        <f>(E5-D5)/(E5+D5)*100</f>
        <v>-43.196491829505199</v>
      </c>
      <c r="K5" s="7">
        <f>(G5-F5)/(G5+F5)*100</f>
        <v>-41.421753958816389</v>
      </c>
      <c r="L5" s="8">
        <f>(I5-H5)/(I5+H5)*100</f>
        <v>-47.05153269188996</v>
      </c>
      <c r="M5" s="2"/>
      <c r="N5" s="2"/>
    </row>
    <row r="6" spans="1:14" x14ac:dyDescent="0.2">
      <c r="A6" t="s">
        <v>6</v>
      </c>
      <c r="B6">
        <v>4</v>
      </c>
      <c r="C6" t="s">
        <v>9</v>
      </c>
      <c r="D6">
        <v>236382</v>
      </c>
      <c r="E6">
        <v>51864</v>
      </c>
      <c r="F6">
        <v>262493</v>
      </c>
      <c r="G6">
        <v>60090</v>
      </c>
      <c r="H6">
        <v>258636</v>
      </c>
      <c r="I6">
        <v>49720</v>
      </c>
      <c r="J6" s="7">
        <f>(E6-D6)/(E6+D6)*100</f>
        <v>-64.014071314085882</v>
      </c>
      <c r="K6" s="7">
        <f>(G6-F6)/(G6+F6)*100</f>
        <v>-62.744471965354656</v>
      </c>
      <c r="L6" s="8">
        <f>(I6-H6)/(I6+H6)*100</f>
        <v>-67.751559885327353</v>
      </c>
      <c r="M6" s="2"/>
      <c r="N6" s="2"/>
    </row>
    <row r="7" spans="1:14" x14ac:dyDescent="0.2">
      <c r="A7" t="s">
        <v>6</v>
      </c>
      <c r="B7">
        <v>5</v>
      </c>
      <c r="C7" t="s">
        <v>10</v>
      </c>
      <c r="D7">
        <v>189857</v>
      </c>
      <c r="E7">
        <v>92161</v>
      </c>
      <c r="F7">
        <v>216451</v>
      </c>
      <c r="G7">
        <v>122859</v>
      </c>
      <c r="H7">
        <v>233123</v>
      </c>
      <c r="I7">
        <v>124533</v>
      </c>
      <c r="J7" s="7">
        <f>(E7-D7)/(E7+D7)*100</f>
        <v>-34.64176045500642</v>
      </c>
      <c r="K7" s="7">
        <f>(G7-F7)/(G7+F7)*100</f>
        <v>-27.583036161622115</v>
      </c>
      <c r="L7" s="8">
        <f>(I7-H7)/(I7+H7)*100</f>
        <v>-30.361576486903619</v>
      </c>
      <c r="M7" s="2"/>
      <c r="N7" s="2"/>
    </row>
    <row r="8" spans="1:14" x14ac:dyDescent="0.2">
      <c r="A8" t="s">
        <v>6</v>
      </c>
      <c r="B8">
        <v>6</v>
      </c>
      <c r="C8" t="s">
        <v>11</v>
      </c>
      <c r="D8">
        <v>225339</v>
      </c>
      <c r="E8">
        <v>80167</v>
      </c>
      <c r="F8">
        <v>242147</v>
      </c>
      <c r="G8">
        <v>107539</v>
      </c>
      <c r="H8">
        <v>240522</v>
      </c>
      <c r="I8">
        <v>104267</v>
      </c>
      <c r="J8" s="7">
        <f>(E8-D8)/(E8+D8)*100</f>
        <v>-47.518543007338643</v>
      </c>
      <c r="K8" s="7">
        <f>(G8-F8)/(G8+F8)*100</f>
        <v>-38.493963155516667</v>
      </c>
      <c r="L8" s="8">
        <f>(I8-H8)/(I8+H8)*100</f>
        <v>-39.518372105838644</v>
      </c>
      <c r="M8" s="2"/>
      <c r="N8" s="2"/>
    </row>
    <row r="9" spans="1:14" x14ac:dyDescent="0.2">
      <c r="A9" t="s">
        <v>6</v>
      </c>
      <c r="B9">
        <v>7</v>
      </c>
      <c r="C9" t="s">
        <v>12</v>
      </c>
      <c r="D9">
        <v>114556</v>
      </c>
      <c r="E9">
        <v>198521</v>
      </c>
      <c r="F9">
        <v>115999</v>
      </c>
      <c r="G9">
        <v>212705</v>
      </c>
      <c r="H9">
        <v>111356</v>
      </c>
      <c r="I9">
        <v>182469</v>
      </c>
      <c r="J9" s="7">
        <f>(E9-D9)/(E9+D9)*100</f>
        <v>26.81928087978357</v>
      </c>
      <c r="K9" s="7">
        <f>(G9-F9)/(G9+F9)*100</f>
        <v>29.420390381619939</v>
      </c>
      <c r="L9" s="8">
        <f>(I9-H9)/(I9+H9)*100</f>
        <v>24.202501488981536</v>
      </c>
      <c r="M9" s="2"/>
      <c r="N9" s="2"/>
    </row>
    <row r="10" spans="1:14" x14ac:dyDescent="0.2">
      <c r="A10" t="s">
        <v>14</v>
      </c>
      <c r="B10">
        <v>1</v>
      </c>
      <c r="C10" t="s">
        <v>13</v>
      </c>
      <c r="D10">
        <v>178516</v>
      </c>
      <c r="E10">
        <v>82086</v>
      </c>
      <c r="F10">
        <v>197486</v>
      </c>
      <c r="G10">
        <v>79697</v>
      </c>
      <c r="H10">
        <v>196035</v>
      </c>
      <c r="I10">
        <v>72184</v>
      </c>
      <c r="J10" s="7">
        <f>(E10-D10)/(E10+D10)*100</f>
        <v>-37.002785857361033</v>
      </c>
      <c r="K10" s="7">
        <f>(G10-F10)/(G10+F10)*100</f>
        <v>-42.495030359004701</v>
      </c>
      <c r="L10" s="8">
        <f>(I10-H10)/(I10+H10)*100</f>
        <v>-46.175326878409059</v>
      </c>
      <c r="M10" s="2"/>
      <c r="N10" s="2"/>
    </row>
    <row r="11" spans="1:14" x14ac:dyDescent="0.2">
      <c r="A11" t="s">
        <v>14</v>
      </c>
      <c r="B11">
        <v>2</v>
      </c>
      <c r="C11" t="s">
        <v>15</v>
      </c>
      <c r="D11">
        <v>166651</v>
      </c>
      <c r="E11">
        <v>120728</v>
      </c>
      <c r="F11">
        <v>183645</v>
      </c>
      <c r="G11">
        <v>140201</v>
      </c>
      <c r="H11">
        <v>180710</v>
      </c>
      <c r="I11">
        <v>131088</v>
      </c>
      <c r="J11" s="7">
        <f>(E11-D11)/(E11+D11)*100</f>
        <v>-15.97994286290926</v>
      </c>
      <c r="K11" s="7">
        <f>(G11-F11)/(G11+F11)*100</f>
        <v>-13.415018249414846</v>
      </c>
      <c r="L11" s="8">
        <f>(I11-H11)/(I11+H11)*100</f>
        <v>-15.91479098647201</v>
      </c>
      <c r="M11" s="2"/>
      <c r="N11" s="2"/>
    </row>
    <row r="12" spans="1:14" x14ac:dyDescent="0.2">
      <c r="A12" t="s">
        <v>14</v>
      </c>
      <c r="B12">
        <v>3</v>
      </c>
      <c r="C12" t="s">
        <v>16</v>
      </c>
      <c r="D12">
        <v>156559</v>
      </c>
      <c r="E12">
        <v>82402</v>
      </c>
      <c r="F12">
        <v>180639</v>
      </c>
      <c r="G12">
        <v>110437</v>
      </c>
      <c r="H12">
        <v>189161</v>
      </c>
      <c r="I12">
        <v>112073</v>
      </c>
      <c r="J12" s="7">
        <f>(E12-D12)/(E12+D12)*100</f>
        <v>-31.033097451048498</v>
      </c>
      <c r="K12" s="7">
        <f>(G12-F12)/(G12+F12)*100</f>
        <v>-24.118099740274019</v>
      </c>
      <c r="L12" s="8">
        <f>(I12-H12)/(I12+H12)*100</f>
        <v>-25.590736769421778</v>
      </c>
      <c r="M12" s="2"/>
      <c r="N12" s="2"/>
    </row>
    <row r="13" spans="1:14" x14ac:dyDescent="0.2">
      <c r="A13" t="s">
        <v>14</v>
      </c>
      <c r="B13">
        <v>4</v>
      </c>
      <c r="C13" t="s">
        <v>17</v>
      </c>
      <c r="D13">
        <v>182563</v>
      </c>
      <c r="E13">
        <v>93776</v>
      </c>
      <c r="F13">
        <v>197902</v>
      </c>
      <c r="G13">
        <v>91965</v>
      </c>
      <c r="H13">
        <v>193335</v>
      </c>
      <c r="I13">
        <v>81560</v>
      </c>
      <c r="J13" s="7">
        <f>(E13-D13)/(E13+D13)*100</f>
        <v>-32.129739197145533</v>
      </c>
      <c r="K13" s="7">
        <f>(G13-F13)/(G13+F13)*100</f>
        <v>-36.546761100780699</v>
      </c>
      <c r="L13" s="8">
        <f>(I13-H13)/(I13+H13)*100</f>
        <v>-40.660979646774223</v>
      </c>
      <c r="M13" s="2"/>
      <c r="N13" s="2"/>
    </row>
    <row r="14" spans="1:14" x14ac:dyDescent="0.2">
      <c r="A14" t="s">
        <v>19</v>
      </c>
      <c r="B14">
        <v>1</v>
      </c>
      <c r="C14" t="s">
        <v>18</v>
      </c>
      <c r="D14">
        <v>181224</v>
      </c>
      <c r="E14">
        <v>165573</v>
      </c>
      <c r="F14">
        <v>225040</v>
      </c>
      <c r="G14">
        <v>231818</v>
      </c>
      <c r="H14">
        <v>230237</v>
      </c>
      <c r="I14">
        <v>216232</v>
      </c>
      <c r="J14" s="7">
        <f>(E14-D14)/(E14+D14)*100</f>
        <v>-4.5130148184672878</v>
      </c>
      <c r="K14" s="7">
        <f>(G14-F14)/(G14+F14)*100</f>
        <v>1.4836119757123658</v>
      </c>
      <c r="L14" s="8">
        <f>(I14-H14)/(I14+H14)*100</f>
        <v>-3.1368359281383476</v>
      </c>
      <c r="M14" s="2"/>
      <c r="N14" s="2"/>
    </row>
    <row r="15" spans="1:14" x14ac:dyDescent="0.2">
      <c r="A15" t="s">
        <v>19</v>
      </c>
      <c r="B15">
        <v>2</v>
      </c>
      <c r="C15" t="s">
        <v>20</v>
      </c>
      <c r="D15">
        <v>161886</v>
      </c>
      <c r="E15">
        <v>130129</v>
      </c>
      <c r="F15">
        <v>215436</v>
      </c>
      <c r="G15">
        <v>183610</v>
      </c>
      <c r="H15">
        <v>237247</v>
      </c>
      <c r="I15">
        <v>174927</v>
      </c>
      <c r="J15" s="7">
        <f>(E15-D15)/(E15+D15)*100</f>
        <v>-10.875126277759705</v>
      </c>
      <c r="K15" s="7">
        <f>(G15-F15)/(G15+F15)*100</f>
        <v>-7.9755216190614613</v>
      </c>
      <c r="L15" s="8">
        <f>(I15-H15)/(I15+H15)*100</f>
        <v>-15.119828033791554</v>
      </c>
      <c r="M15" s="2"/>
      <c r="N15" s="2"/>
    </row>
    <row r="16" spans="1:14" x14ac:dyDescent="0.2">
      <c r="A16" t="s">
        <v>19</v>
      </c>
      <c r="B16">
        <v>3</v>
      </c>
      <c r="C16" t="s">
        <v>21</v>
      </c>
      <c r="D16">
        <v>36274</v>
      </c>
      <c r="E16">
        <v>120964</v>
      </c>
      <c r="F16">
        <v>54790</v>
      </c>
      <c r="G16">
        <v>171007</v>
      </c>
      <c r="H16">
        <v>62762</v>
      </c>
      <c r="I16">
        <v>147522</v>
      </c>
      <c r="J16" s="7">
        <f>(E16-D16)/(E16+D16)*100</f>
        <v>53.861025960645648</v>
      </c>
      <c r="K16" s="7">
        <f>(G16-F16)/(G16+F16)*100</f>
        <v>51.46968294530042</v>
      </c>
      <c r="L16" s="8">
        <f>(I16-H16)/(I16+H16)*100</f>
        <v>40.307393810275627</v>
      </c>
      <c r="M16" s="2"/>
      <c r="N16" s="2"/>
    </row>
    <row r="17" spans="1:14" x14ac:dyDescent="0.2">
      <c r="A17" t="s">
        <v>19</v>
      </c>
      <c r="B17">
        <v>4</v>
      </c>
      <c r="C17" t="s">
        <v>22</v>
      </c>
      <c r="D17">
        <v>128592</v>
      </c>
      <c r="E17">
        <v>135838</v>
      </c>
      <c r="F17">
        <v>162980</v>
      </c>
      <c r="G17">
        <v>201171</v>
      </c>
      <c r="H17">
        <v>159723</v>
      </c>
      <c r="I17">
        <v>182893</v>
      </c>
      <c r="J17" s="7">
        <f>(E17-D17)/(E17+D17)*100</f>
        <v>2.7402337102446772</v>
      </c>
      <c r="K17" s="7">
        <f>(G17-F17)/(G17+F17)*100</f>
        <v>10.487682307614149</v>
      </c>
      <c r="L17" s="8">
        <f>(I17-H17)/(I17+H17)*100</f>
        <v>6.7626730800663131</v>
      </c>
      <c r="M17" s="2"/>
      <c r="N17" s="2"/>
    </row>
    <row r="18" spans="1:14" x14ac:dyDescent="0.2">
      <c r="A18" t="s">
        <v>19</v>
      </c>
      <c r="B18">
        <v>5</v>
      </c>
      <c r="C18" t="s">
        <v>23</v>
      </c>
      <c r="D18">
        <v>166689</v>
      </c>
      <c r="E18">
        <v>104050</v>
      </c>
      <c r="F18">
        <v>239645</v>
      </c>
      <c r="G18">
        <v>171328</v>
      </c>
      <c r="H18">
        <v>264571</v>
      </c>
      <c r="I18">
        <v>175673</v>
      </c>
      <c r="J18" s="7">
        <f>(E18-D18)/(E18+D18)*100</f>
        <v>-23.136304706747087</v>
      </c>
      <c r="K18" s="7">
        <f>(G18-F18)/(G18+F18)*100</f>
        <v>-16.623233156436068</v>
      </c>
      <c r="L18" s="8">
        <f>(I18-H18)/(I18+H18)*100</f>
        <v>-20.192893032045866</v>
      </c>
      <c r="M18" s="2"/>
      <c r="N18" s="2"/>
    </row>
    <row r="19" spans="1:14" x14ac:dyDescent="0.2">
      <c r="A19" t="s">
        <v>19</v>
      </c>
      <c r="B19">
        <v>6</v>
      </c>
      <c r="C19" t="s">
        <v>24</v>
      </c>
      <c r="D19">
        <v>173612</v>
      </c>
      <c r="E19">
        <v>154966</v>
      </c>
      <c r="F19">
        <v>214214</v>
      </c>
      <c r="G19">
        <v>214520</v>
      </c>
      <c r="H19">
        <v>219323</v>
      </c>
      <c r="I19">
        <v>216024</v>
      </c>
      <c r="J19" s="7">
        <f>(E19-D19)/(E19+D19)*100</f>
        <v>-5.6747560700959898</v>
      </c>
      <c r="K19" s="7">
        <f>(G19-F19)/(G19+F19)*100</f>
        <v>7.1372925870119938E-2</v>
      </c>
      <c r="L19" s="8">
        <f>(I19-H19)/(I19+H19)*100</f>
        <v>-0.75778631758114789</v>
      </c>
      <c r="M19" s="2"/>
      <c r="N19" s="2"/>
    </row>
    <row r="20" spans="1:14" x14ac:dyDescent="0.2">
      <c r="A20" t="s">
        <v>19</v>
      </c>
      <c r="B20">
        <v>7</v>
      </c>
      <c r="C20" t="s">
        <v>25</v>
      </c>
      <c r="D20">
        <v>70868</v>
      </c>
      <c r="E20">
        <v>150034</v>
      </c>
      <c r="F20">
        <v>98034</v>
      </c>
      <c r="G20">
        <v>194877</v>
      </c>
      <c r="H20">
        <v>108028</v>
      </c>
      <c r="I20">
        <v>170352</v>
      </c>
      <c r="J20" s="7">
        <f t="shared" ref="J20:J83" si="0">(E20-D20)/(E20+D20)*100</f>
        <v>35.837611248426903</v>
      </c>
      <c r="K20" s="7">
        <f t="shared" ref="K20:K83" si="1">(G20-F20)/(G20+F20)*100</f>
        <v>33.06226123293424</v>
      </c>
      <c r="L20" s="8">
        <f t="shared" ref="L20:L83" si="2">(I20-H20)/(I20+H20)*100</f>
        <v>22.388102593577123</v>
      </c>
      <c r="M20" s="2"/>
      <c r="N20" s="2"/>
    </row>
    <row r="21" spans="1:14" x14ac:dyDescent="0.2">
      <c r="A21" t="s">
        <v>19</v>
      </c>
      <c r="B21">
        <v>8</v>
      </c>
      <c r="C21" t="s">
        <v>26</v>
      </c>
      <c r="D21">
        <v>173633</v>
      </c>
      <c r="E21">
        <v>116611</v>
      </c>
      <c r="F21">
        <v>225553</v>
      </c>
      <c r="G21">
        <v>171042</v>
      </c>
      <c r="H21">
        <v>226186</v>
      </c>
      <c r="I21">
        <v>162183</v>
      </c>
      <c r="J21" s="7">
        <f t="shared" si="0"/>
        <v>-19.6462286903433</v>
      </c>
      <c r="K21" s="7">
        <f t="shared" si="1"/>
        <v>-13.744752203129137</v>
      </c>
      <c r="L21" s="8">
        <f t="shared" si="2"/>
        <v>-16.479945618728582</v>
      </c>
      <c r="M21" s="2"/>
      <c r="N21" s="2"/>
    </row>
    <row r="22" spans="1:14" x14ac:dyDescent="0.2">
      <c r="A22" t="s">
        <v>19</v>
      </c>
      <c r="B22">
        <v>9</v>
      </c>
      <c r="C22" t="s">
        <v>27</v>
      </c>
      <c r="D22">
        <v>156898</v>
      </c>
      <c r="E22">
        <v>82413</v>
      </c>
      <c r="F22">
        <v>225592</v>
      </c>
      <c r="G22">
        <v>132199</v>
      </c>
      <c r="H22">
        <v>262165</v>
      </c>
      <c r="I22">
        <v>137054</v>
      </c>
      <c r="J22" s="7">
        <f t="shared" si="0"/>
        <v>-31.124770695872733</v>
      </c>
      <c r="K22" s="7">
        <f t="shared" si="1"/>
        <v>-26.102668876522888</v>
      </c>
      <c r="L22" s="8">
        <f t="shared" si="2"/>
        <v>-31.338939278942135</v>
      </c>
      <c r="M22" s="2"/>
      <c r="N22" s="2"/>
    </row>
    <row r="23" spans="1:14" x14ac:dyDescent="0.2">
      <c r="A23" t="s">
        <v>29</v>
      </c>
      <c r="B23">
        <v>1</v>
      </c>
      <c r="C23" t="s">
        <v>28</v>
      </c>
      <c r="D23">
        <v>126522</v>
      </c>
      <c r="E23">
        <v>170598</v>
      </c>
      <c r="F23">
        <v>147017</v>
      </c>
      <c r="G23">
        <v>212964</v>
      </c>
      <c r="H23">
        <v>144379</v>
      </c>
      <c r="I23">
        <v>186118</v>
      </c>
      <c r="J23" s="7">
        <f t="shared" si="0"/>
        <v>14.834410339256864</v>
      </c>
      <c r="K23" s="7">
        <f t="shared" si="1"/>
        <v>18.319577977726603</v>
      </c>
      <c r="L23" s="8">
        <f t="shared" si="2"/>
        <v>12.629161535505617</v>
      </c>
      <c r="M23" s="2"/>
      <c r="N23" s="2"/>
    </row>
    <row r="24" spans="1:14" x14ac:dyDescent="0.2">
      <c r="A24" t="s">
        <v>29</v>
      </c>
      <c r="B24">
        <v>2</v>
      </c>
      <c r="C24" t="s">
        <v>30</v>
      </c>
      <c r="D24">
        <v>123116</v>
      </c>
      <c r="E24">
        <v>211519</v>
      </c>
      <c r="F24">
        <v>144491</v>
      </c>
      <c r="G24">
        <v>263170</v>
      </c>
      <c r="H24">
        <v>140577</v>
      </c>
      <c r="I24">
        <v>236559</v>
      </c>
      <c r="J24" s="7">
        <f t="shared" si="0"/>
        <v>26.417738730258339</v>
      </c>
      <c r="K24" s="7">
        <f t="shared" si="1"/>
        <v>29.112178991858435</v>
      </c>
      <c r="L24" s="8">
        <f t="shared" si="2"/>
        <v>25.450235458826526</v>
      </c>
      <c r="M24" s="2"/>
      <c r="N24" s="2"/>
    </row>
    <row r="25" spans="1:14" x14ac:dyDescent="0.2">
      <c r="A25" t="s">
        <v>29</v>
      </c>
      <c r="B25">
        <v>3</v>
      </c>
      <c r="C25" t="s">
        <v>31</v>
      </c>
      <c r="D25">
        <v>130674</v>
      </c>
      <c r="E25">
        <v>158917</v>
      </c>
      <c r="F25">
        <v>163088</v>
      </c>
      <c r="G25">
        <v>217623</v>
      </c>
      <c r="H25">
        <v>158302</v>
      </c>
      <c r="I25">
        <v>195637</v>
      </c>
      <c r="J25" s="7">
        <f t="shared" si="0"/>
        <v>9.7527202157525608</v>
      </c>
      <c r="K25" s="7">
        <f t="shared" si="1"/>
        <v>14.324513870100944</v>
      </c>
      <c r="L25" s="8">
        <f t="shared" si="2"/>
        <v>10.548427836435092</v>
      </c>
      <c r="M25" s="2"/>
      <c r="N25" s="2"/>
    </row>
    <row r="26" spans="1:14" x14ac:dyDescent="0.2">
      <c r="A26" t="s">
        <v>29</v>
      </c>
      <c r="B26">
        <v>4</v>
      </c>
      <c r="C26" t="s">
        <v>32</v>
      </c>
      <c r="D26">
        <v>107953</v>
      </c>
      <c r="E26">
        <v>167192</v>
      </c>
      <c r="F26">
        <v>138292</v>
      </c>
      <c r="G26">
        <v>214496</v>
      </c>
      <c r="H26">
        <v>141870</v>
      </c>
      <c r="I26">
        <v>191767</v>
      </c>
      <c r="J26" s="7">
        <f t="shared" si="0"/>
        <v>21.530102309691255</v>
      </c>
      <c r="K26" s="7">
        <f t="shared" si="1"/>
        <v>21.600507953785275</v>
      </c>
      <c r="L26" s="8">
        <f t="shared" si="2"/>
        <v>14.955475561763235</v>
      </c>
      <c r="M26" s="2"/>
      <c r="N26" s="2"/>
    </row>
    <row r="27" spans="1:14" x14ac:dyDescent="0.2">
      <c r="A27" t="s">
        <v>29</v>
      </c>
      <c r="B27">
        <v>5</v>
      </c>
      <c r="C27" t="s">
        <v>33</v>
      </c>
      <c r="D27">
        <v>171874</v>
      </c>
      <c r="E27">
        <v>117813</v>
      </c>
      <c r="F27">
        <v>215543</v>
      </c>
      <c r="G27">
        <v>159852</v>
      </c>
      <c r="H27">
        <v>214129</v>
      </c>
      <c r="I27">
        <v>139207</v>
      </c>
      <c r="J27" s="7">
        <f t="shared" si="0"/>
        <v>-18.661866083048256</v>
      </c>
      <c r="K27" s="7">
        <f t="shared" si="1"/>
        <v>-14.835306810159965</v>
      </c>
      <c r="L27" s="8">
        <f t="shared" si="2"/>
        <v>-21.204179591097425</v>
      </c>
      <c r="M27" s="2"/>
      <c r="N27" s="2"/>
    </row>
    <row r="28" spans="1:14" x14ac:dyDescent="0.2">
      <c r="A28" t="s">
        <v>29</v>
      </c>
      <c r="B28">
        <v>6</v>
      </c>
      <c r="C28" t="s">
        <v>34</v>
      </c>
      <c r="D28">
        <v>110749</v>
      </c>
      <c r="E28">
        <v>138060</v>
      </c>
      <c r="F28">
        <v>151560</v>
      </c>
      <c r="G28">
        <v>196529</v>
      </c>
      <c r="H28">
        <v>148595</v>
      </c>
      <c r="I28">
        <v>176808</v>
      </c>
      <c r="J28" s="7">
        <f t="shared" si="0"/>
        <v>10.976692965286626</v>
      </c>
      <c r="K28" s="7">
        <f t="shared" si="1"/>
        <v>12.918822485054109</v>
      </c>
      <c r="L28" s="8">
        <f t="shared" si="2"/>
        <v>8.670172063564257</v>
      </c>
      <c r="M28" s="2"/>
      <c r="N28" s="2"/>
    </row>
    <row r="29" spans="1:14" x14ac:dyDescent="0.2">
      <c r="A29" t="s">
        <v>29</v>
      </c>
      <c r="B29">
        <v>7</v>
      </c>
      <c r="C29" t="s">
        <v>35</v>
      </c>
      <c r="D29">
        <v>109416</v>
      </c>
      <c r="E29">
        <v>164796</v>
      </c>
      <c r="F29">
        <v>146476</v>
      </c>
      <c r="G29">
        <v>220144</v>
      </c>
      <c r="H29">
        <v>145585</v>
      </c>
      <c r="I29">
        <v>190078</v>
      </c>
      <c r="J29" s="7">
        <f t="shared" si="0"/>
        <v>20.196052689160211</v>
      </c>
      <c r="K29" s="7">
        <f t="shared" si="1"/>
        <v>20.093830123833943</v>
      </c>
      <c r="L29" s="8">
        <f t="shared" si="2"/>
        <v>13.25525899488475</v>
      </c>
      <c r="M29" s="2"/>
      <c r="N29" s="2"/>
    </row>
    <row r="30" spans="1:14" x14ac:dyDescent="0.2">
      <c r="A30" t="s">
        <v>29</v>
      </c>
      <c r="B30">
        <v>8</v>
      </c>
      <c r="C30" t="s">
        <v>36</v>
      </c>
      <c r="D30">
        <v>69772</v>
      </c>
      <c r="E30">
        <v>191499</v>
      </c>
      <c r="F30">
        <v>94851</v>
      </c>
      <c r="G30">
        <v>241492</v>
      </c>
      <c r="H30">
        <v>98043</v>
      </c>
      <c r="I30">
        <v>204496</v>
      </c>
      <c r="J30" s="7">
        <f t="shared" si="0"/>
        <v>46.590321926275784</v>
      </c>
      <c r="K30" s="7">
        <f t="shared" si="1"/>
        <v>43.598647808933144</v>
      </c>
      <c r="L30" s="8">
        <f t="shared" si="2"/>
        <v>35.186537933952316</v>
      </c>
      <c r="M30" s="2"/>
      <c r="N30" s="2"/>
    </row>
    <row r="31" spans="1:14" x14ac:dyDescent="0.2">
      <c r="A31" t="s">
        <v>29</v>
      </c>
      <c r="B31">
        <v>9</v>
      </c>
      <c r="C31" t="s">
        <v>37</v>
      </c>
      <c r="D31">
        <v>76029</v>
      </c>
      <c r="E31">
        <v>135705</v>
      </c>
      <c r="F31">
        <v>105771</v>
      </c>
      <c r="G31">
        <v>183175</v>
      </c>
      <c r="H31">
        <v>114692</v>
      </c>
      <c r="I31">
        <v>145369</v>
      </c>
      <c r="J31" s="7">
        <f t="shared" si="0"/>
        <v>28.184420074244098</v>
      </c>
      <c r="K31" s="7">
        <f t="shared" si="1"/>
        <v>26.788396447779171</v>
      </c>
      <c r="L31" s="8">
        <f t="shared" si="2"/>
        <v>11.796078612325569</v>
      </c>
      <c r="M31" s="2"/>
      <c r="N31" s="2"/>
    </row>
    <row r="32" spans="1:14" x14ac:dyDescent="0.2">
      <c r="A32" t="s">
        <v>29</v>
      </c>
      <c r="B32">
        <v>10</v>
      </c>
      <c r="C32" t="s">
        <v>38</v>
      </c>
      <c r="D32">
        <v>96748</v>
      </c>
      <c r="E32">
        <v>215821</v>
      </c>
      <c r="F32">
        <v>122486</v>
      </c>
      <c r="G32">
        <v>282092</v>
      </c>
      <c r="H32">
        <v>119171</v>
      </c>
      <c r="I32">
        <v>246078</v>
      </c>
      <c r="J32" s="7">
        <f t="shared" si="0"/>
        <v>38.094948635341318</v>
      </c>
      <c r="K32" s="7">
        <f t="shared" si="1"/>
        <v>39.449994809406348</v>
      </c>
      <c r="L32" s="8">
        <f t="shared" si="2"/>
        <v>34.745338111808657</v>
      </c>
      <c r="M32" s="2"/>
      <c r="N32" s="2"/>
    </row>
    <row r="33" spans="1:14" x14ac:dyDescent="0.2">
      <c r="A33" t="s">
        <v>29</v>
      </c>
      <c r="B33">
        <v>11</v>
      </c>
      <c r="C33" t="s">
        <v>39</v>
      </c>
      <c r="D33">
        <v>32219</v>
      </c>
      <c r="E33">
        <v>312188</v>
      </c>
      <c r="F33">
        <v>46188</v>
      </c>
      <c r="G33">
        <v>339716</v>
      </c>
      <c r="H33">
        <v>50870</v>
      </c>
      <c r="I33">
        <v>295462</v>
      </c>
      <c r="J33" s="7">
        <f t="shared" si="0"/>
        <v>81.290159607673488</v>
      </c>
      <c r="K33" s="7">
        <f t="shared" si="1"/>
        <v>76.062440399684888</v>
      </c>
      <c r="L33" s="8">
        <f t="shared" si="2"/>
        <v>70.623563517087646</v>
      </c>
      <c r="M33" s="2"/>
      <c r="N33" s="2"/>
    </row>
    <row r="34" spans="1:14" x14ac:dyDescent="0.2">
      <c r="A34" t="s">
        <v>29</v>
      </c>
      <c r="B34">
        <v>12</v>
      </c>
      <c r="C34" t="s">
        <v>40</v>
      </c>
      <c r="D34">
        <v>21158</v>
      </c>
      <c r="E34">
        <v>285851</v>
      </c>
      <c r="F34">
        <v>31678</v>
      </c>
      <c r="G34">
        <v>328667</v>
      </c>
      <c r="H34">
        <v>33869</v>
      </c>
      <c r="I34">
        <v>269134</v>
      </c>
      <c r="J34" s="7">
        <f t="shared" si="0"/>
        <v>86.216690715907347</v>
      </c>
      <c r="K34" s="7">
        <f t="shared" si="1"/>
        <v>82.417960565569103</v>
      </c>
      <c r="L34" s="8">
        <f t="shared" si="2"/>
        <v>77.644445764563386</v>
      </c>
      <c r="M34" s="2"/>
      <c r="N34" s="2"/>
    </row>
    <row r="35" spans="1:14" x14ac:dyDescent="0.2">
      <c r="A35" t="s">
        <v>29</v>
      </c>
      <c r="B35">
        <v>13</v>
      </c>
      <c r="C35" t="s">
        <v>41</v>
      </c>
      <c r="D35">
        <v>63356</v>
      </c>
      <c r="E35">
        <v>99641</v>
      </c>
      <c r="F35">
        <v>89225</v>
      </c>
      <c r="G35">
        <v>128684</v>
      </c>
      <c r="H35">
        <v>100584</v>
      </c>
      <c r="I35">
        <v>101620</v>
      </c>
      <c r="J35" s="7">
        <f t="shared" si="0"/>
        <v>22.261145910660932</v>
      </c>
      <c r="K35" s="7">
        <f t="shared" si="1"/>
        <v>18.108017566966026</v>
      </c>
      <c r="L35" s="8">
        <f t="shared" si="2"/>
        <v>0.51235386045775555</v>
      </c>
      <c r="M35" s="2"/>
      <c r="N35" s="2"/>
    </row>
    <row r="36" spans="1:14" x14ac:dyDescent="0.2">
      <c r="A36" t="s">
        <v>29</v>
      </c>
      <c r="B36">
        <v>14</v>
      </c>
      <c r="C36" t="s">
        <v>42</v>
      </c>
      <c r="D36">
        <v>61360</v>
      </c>
      <c r="E36">
        <v>185055</v>
      </c>
      <c r="F36">
        <v>85794</v>
      </c>
      <c r="G36">
        <v>234592</v>
      </c>
      <c r="H36">
        <v>87449</v>
      </c>
      <c r="I36">
        <v>186701</v>
      </c>
      <c r="J36" s="7">
        <f t="shared" si="0"/>
        <v>50.197836982326564</v>
      </c>
      <c r="K36" s="7">
        <f t="shared" si="1"/>
        <v>46.443352705798631</v>
      </c>
      <c r="L36" s="8">
        <f t="shared" si="2"/>
        <v>36.203538209009665</v>
      </c>
      <c r="M36" s="2"/>
      <c r="N36" s="2"/>
    </row>
    <row r="37" spans="1:14" x14ac:dyDescent="0.2">
      <c r="A37" t="s">
        <v>29</v>
      </c>
      <c r="B37">
        <v>15</v>
      </c>
      <c r="C37" t="s">
        <v>43</v>
      </c>
      <c r="D37">
        <v>51514</v>
      </c>
      <c r="E37">
        <v>222846</v>
      </c>
      <c r="F37">
        <v>71576</v>
      </c>
      <c r="G37">
        <v>272983</v>
      </c>
      <c r="H37">
        <v>74238</v>
      </c>
      <c r="I37">
        <v>220581</v>
      </c>
      <c r="J37" s="7">
        <f t="shared" si="0"/>
        <v>62.447878699518874</v>
      </c>
      <c r="K37" s="7">
        <f t="shared" si="1"/>
        <v>58.453559477477</v>
      </c>
      <c r="L37" s="8">
        <f t="shared" si="2"/>
        <v>49.638252622795683</v>
      </c>
      <c r="M37" s="2"/>
      <c r="N37" s="2"/>
    </row>
    <row r="38" spans="1:14" x14ac:dyDescent="0.2">
      <c r="A38" t="s">
        <v>29</v>
      </c>
      <c r="B38">
        <v>16</v>
      </c>
      <c r="C38" t="s">
        <v>44</v>
      </c>
      <c r="D38">
        <v>63325</v>
      </c>
      <c r="E38">
        <v>241413</v>
      </c>
      <c r="F38">
        <v>85226</v>
      </c>
      <c r="G38">
        <v>284912</v>
      </c>
      <c r="H38">
        <v>82180</v>
      </c>
      <c r="I38">
        <v>245899</v>
      </c>
      <c r="J38" s="7">
        <f t="shared" si="0"/>
        <v>58.439708864664077</v>
      </c>
      <c r="K38" s="7">
        <f t="shared" si="1"/>
        <v>53.949067645040493</v>
      </c>
      <c r="L38" s="8">
        <f t="shared" si="2"/>
        <v>49.902310114332224</v>
      </c>
      <c r="M38" s="2"/>
      <c r="N38" s="2"/>
    </row>
    <row r="39" spans="1:14" x14ac:dyDescent="0.2">
      <c r="A39" t="s">
        <v>29</v>
      </c>
      <c r="B39">
        <v>17</v>
      </c>
      <c r="C39" t="s">
        <v>45</v>
      </c>
      <c r="D39">
        <v>48738</v>
      </c>
      <c r="E39">
        <v>181413</v>
      </c>
      <c r="F39">
        <v>75429</v>
      </c>
      <c r="G39">
        <v>221507</v>
      </c>
      <c r="H39">
        <v>74901</v>
      </c>
      <c r="I39">
        <v>177909</v>
      </c>
      <c r="J39" s="7">
        <f t="shared" si="0"/>
        <v>57.646936141924208</v>
      </c>
      <c r="K39" s="7">
        <f t="shared" si="1"/>
        <v>49.195112751569361</v>
      </c>
      <c r="L39" s="8">
        <f t="shared" si="2"/>
        <v>40.745223685771926</v>
      </c>
      <c r="M39" s="2"/>
      <c r="N39" s="2"/>
    </row>
    <row r="40" spans="1:14" x14ac:dyDescent="0.2">
      <c r="A40" t="s">
        <v>29</v>
      </c>
      <c r="B40">
        <v>18</v>
      </c>
      <c r="C40" t="s">
        <v>46</v>
      </c>
      <c r="D40">
        <v>49331</v>
      </c>
      <c r="E40">
        <v>148302</v>
      </c>
      <c r="F40">
        <v>73682</v>
      </c>
      <c r="G40">
        <v>187853</v>
      </c>
      <c r="H40">
        <v>81245</v>
      </c>
      <c r="I40">
        <v>148780</v>
      </c>
      <c r="J40" s="7">
        <f t="shared" si="0"/>
        <v>50.078175203533824</v>
      </c>
      <c r="K40" s="7">
        <f t="shared" si="1"/>
        <v>43.65419542317472</v>
      </c>
      <c r="L40" s="8">
        <f t="shared" si="2"/>
        <v>29.359852189979353</v>
      </c>
      <c r="M40" s="2"/>
      <c r="N40" s="2"/>
    </row>
    <row r="41" spans="1:14" x14ac:dyDescent="0.2">
      <c r="A41" t="s">
        <v>29</v>
      </c>
      <c r="B41">
        <v>19</v>
      </c>
      <c r="C41" t="s">
        <v>47</v>
      </c>
      <c r="D41">
        <v>92930</v>
      </c>
      <c r="E41">
        <v>228213</v>
      </c>
      <c r="F41">
        <v>119846</v>
      </c>
      <c r="G41">
        <v>283131</v>
      </c>
      <c r="H41">
        <v>116839</v>
      </c>
      <c r="I41">
        <v>246279</v>
      </c>
      <c r="J41" s="7">
        <f t="shared" si="0"/>
        <v>42.125470584755078</v>
      </c>
      <c r="K41" s="7">
        <f t="shared" si="1"/>
        <v>40.519682264744638</v>
      </c>
      <c r="L41" s="8">
        <f t="shared" si="2"/>
        <v>35.646814534118384</v>
      </c>
      <c r="M41" s="2"/>
      <c r="N41" s="2"/>
    </row>
    <row r="42" spans="1:14" x14ac:dyDescent="0.2">
      <c r="A42" t="s">
        <v>29</v>
      </c>
      <c r="B42">
        <v>20</v>
      </c>
      <c r="C42" t="s">
        <v>48</v>
      </c>
      <c r="D42">
        <v>161348</v>
      </c>
      <c r="E42">
        <v>79369</v>
      </c>
      <c r="F42">
        <v>204971</v>
      </c>
      <c r="G42">
        <v>118319</v>
      </c>
      <c r="H42">
        <v>204922</v>
      </c>
      <c r="I42">
        <v>103279</v>
      </c>
      <c r="J42" s="7">
        <f t="shared" si="0"/>
        <v>-34.056173847297863</v>
      </c>
      <c r="K42" s="7">
        <f t="shared" si="1"/>
        <v>-26.80317980760308</v>
      </c>
      <c r="L42" s="8">
        <f t="shared" si="2"/>
        <v>-32.979451721441528</v>
      </c>
      <c r="M42" s="2"/>
      <c r="N42" s="2"/>
    </row>
    <row r="43" spans="1:14" x14ac:dyDescent="0.2">
      <c r="A43" t="s">
        <v>29</v>
      </c>
      <c r="B43">
        <v>21</v>
      </c>
      <c r="C43" t="s">
        <v>49</v>
      </c>
      <c r="D43">
        <v>65153</v>
      </c>
      <c r="E43">
        <v>103959</v>
      </c>
      <c r="F43">
        <v>88586</v>
      </c>
      <c r="G43">
        <v>137371</v>
      </c>
      <c r="H43">
        <v>92155</v>
      </c>
      <c r="I43">
        <v>104265</v>
      </c>
      <c r="J43" s="7">
        <f t="shared" si="0"/>
        <v>22.946922749420505</v>
      </c>
      <c r="K43" s="7">
        <f t="shared" si="1"/>
        <v>21.590391092110444</v>
      </c>
      <c r="L43" s="8">
        <f t="shared" si="2"/>
        <v>6.1653599429793298</v>
      </c>
      <c r="M43" s="2"/>
      <c r="N43" s="2"/>
    </row>
    <row r="44" spans="1:14" x14ac:dyDescent="0.2">
      <c r="A44" t="s">
        <v>29</v>
      </c>
      <c r="B44">
        <v>22</v>
      </c>
      <c r="C44" t="s">
        <v>50</v>
      </c>
      <c r="D44">
        <v>54863</v>
      </c>
      <c r="E44">
        <v>85332</v>
      </c>
      <c r="F44">
        <v>76598</v>
      </c>
      <c r="G44">
        <v>108930</v>
      </c>
      <c r="H44">
        <v>84903</v>
      </c>
      <c r="I44">
        <v>81787</v>
      </c>
      <c r="J44" s="7">
        <f t="shared" si="0"/>
        <v>21.733300046363993</v>
      </c>
      <c r="K44" s="7">
        <f t="shared" si="1"/>
        <v>17.427019102237935</v>
      </c>
      <c r="L44" s="8">
        <f t="shared" si="2"/>
        <v>-1.8693382926390307</v>
      </c>
      <c r="M44" s="2"/>
      <c r="N44" s="2"/>
    </row>
    <row r="45" spans="1:14" x14ac:dyDescent="0.2">
      <c r="A45" t="s">
        <v>29</v>
      </c>
      <c r="B45">
        <v>23</v>
      </c>
      <c r="C45" t="s">
        <v>51</v>
      </c>
      <c r="D45">
        <v>132767</v>
      </c>
      <c r="E45">
        <v>93385</v>
      </c>
      <c r="F45">
        <v>165463</v>
      </c>
      <c r="G45">
        <v>128992</v>
      </c>
      <c r="H45">
        <v>161463</v>
      </c>
      <c r="I45">
        <v>107871</v>
      </c>
      <c r="J45" s="7">
        <f t="shared" si="0"/>
        <v>-17.413951678517105</v>
      </c>
      <c r="K45" s="7">
        <f t="shared" si="1"/>
        <v>-12.385933334465369</v>
      </c>
      <c r="L45" s="8">
        <f t="shared" si="2"/>
        <v>-19.897970549577849</v>
      </c>
      <c r="M45" s="2"/>
      <c r="N45" s="2"/>
    </row>
    <row r="46" spans="1:14" x14ac:dyDescent="0.2">
      <c r="A46" t="s">
        <v>29</v>
      </c>
      <c r="B46">
        <v>24</v>
      </c>
      <c r="C46" t="s">
        <v>52</v>
      </c>
      <c r="D46">
        <v>110312</v>
      </c>
      <c r="E46">
        <v>191795</v>
      </c>
      <c r="F46">
        <v>129955</v>
      </c>
      <c r="G46">
        <v>239698</v>
      </c>
      <c r="H46">
        <v>126390</v>
      </c>
      <c r="I46">
        <v>214110</v>
      </c>
      <c r="J46" s="7">
        <f t="shared" si="0"/>
        <v>26.971569675644723</v>
      </c>
      <c r="K46" s="7">
        <f t="shared" si="1"/>
        <v>29.688112905887415</v>
      </c>
      <c r="L46" s="8">
        <f t="shared" si="2"/>
        <v>25.762114537444937</v>
      </c>
      <c r="M46" s="2"/>
      <c r="N46" s="2"/>
    </row>
    <row r="47" spans="1:14" x14ac:dyDescent="0.2">
      <c r="A47" t="s">
        <v>29</v>
      </c>
      <c r="B47">
        <v>25</v>
      </c>
      <c r="C47" t="s">
        <v>53</v>
      </c>
      <c r="D47">
        <v>85098</v>
      </c>
      <c r="E47">
        <v>122676</v>
      </c>
      <c r="F47">
        <v>115733</v>
      </c>
      <c r="G47">
        <v>162219</v>
      </c>
      <c r="H47">
        <v>124154</v>
      </c>
      <c r="I47">
        <v>139917</v>
      </c>
      <c r="J47" s="7">
        <f t="shared" si="0"/>
        <v>18.085997285512143</v>
      </c>
      <c r="K47" s="7">
        <f t="shared" si="1"/>
        <v>16.724470412157494</v>
      </c>
      <c r="L47" s="8">
        <f t="shared" si="2"/>
        <v>5.9692279727800477</v>
      </c>
      <c r="M47" s="2"/>
      <c r="N47" s="2"/>
    </row>
    <row r="48" spans="1:14" x14ac:dyDescent="0.2">
      <c r="A48" t="s">
        <v>29</v>
      </c>
      <c r="B48">
        <v>26</v>
      </c>
      <c r="C48" t="s">
        <v>54</v>
      </c>
      <c r="D48">
        <v>114648</v>
      </c>
      <c r="E48">
        <v>177503</v>
      </c>
      <c r="F48">
        <v>142642</v>
      </c>
      <c r="G48">
        <v>227110</v>
      </c>
      <c r="H48">
        <v>140581</v>
      </c>
      <c r="I48">
        <v>193041</v>
      </c>
      <c r="J48" s="7">
        <f t="shared" si="0"/>
        <v>21.514559251893711</v>
      </c>
      <c r="K48" s="7">
        <f t="shared" si="1"/>
        <v>22.844501179168741</v>
      </c>
      <c r="L48" s="8">
        <f t="shared" si="2"/>
        <v>15.72438268459514</v>
      </c>
      <c r="M48" s="2"/>
      <c r="N48" s="2"/>
    </row>
    <row r="49" spans="1:14" x14ac:dyDescent="0.2">
      <c r="A49" t="s">
        <v>29</v>
      </c>
      <c r="B49">
        <v>27</v>
      </c>
      <c r="C49" t="s">
        <v>55</v>
      </c>
      <c r="D49">
        <v>97256</v>
      </c>
      <c r="E49">
        <v>145107</v>
      </c>
      <c r="F49">
        <v>128922</v>
      </c>
      <c r="G49">
        <v>193710</v>
      </c>
      <c r="H49">
        <v>129110</v>
      </c>
      <c r="I49">
        <v>157989</v>
      </c>
      <c r="J49" s="7">
        <f t="shared" si="0"/>
        <v>19.743525208055683</v>
      </c>
      <c r="K49" s="7">
        <f t="shared" si="1"/>
        <v>20.081083091571823</v>
      </c>
      <c r="L49" s="8">
        <f t="shared" si="2"/>
        <v>10.058899543363092</v>
      </c>
      <c r="M49" s="2"/>
      <c r="N49" s="2"/>
    </row>
    <row r="50" spans="1:14" x14ac:dyDescent="0.2">
      <c r="A50" t="s">
        <v>29</v>
      </c>
      <c r="B50">
        <v>28</v>
      </c>
      <c r="C50" t="s">
        <v>56</v>
      </c>
      <c r="D50">
        <v>87774</v>
      </c>
      <c r="E50">
        <v>184398</v>
      </c>
      <c r="F50">
        <v>120216</v>
      </c>
      <c r="G50">
        <v>240596</v>
      </c>
      <c r="H50">
        <v>116660</v>
      </c>
      <c r="I50">
        <v>199342</v>
      </c>
      <c r="J50" s="7">
        <f t="shared" si="0"/>
        <v>35.501080199285745</v>
      </c>
      <c r="K50" s="7">
        <f t="shared" si="1"/>
        <v>33.363635355808562</v>
      </c>
      <c r="L50" s="8">
        <f t="shared" si="2"/>
        <v>26.165024271998277</v>
      </c>
      <c r="M50" s="2"/>
      <c r="N50" s="2"/>
    </row>
    <row r="51" spans="1:14" x14ac:dyDescent="0.2">
      <c r="A51" t="s">
        <v>29</v>
      </c>
      <c r="B51">
        <v>29</v>
      </c>
      <c r="C51" t="s">
        <v>57</v>
      </c>
      <c r="D51">
        <v>38126</v>
      </c>
      <c r="E51">
        <v>167798</v>
      </c>
      <c r="F51">
        <v>66753</v>
      </c>
      <c r="G51">
        <v>205835</v>
      </c>
      <c r="H51">
        <v>75636</v>
      </c>
      <c r="I51">
        <v>156045</v>
      </c>
      <c r="J51" s="7">
        <f t="shared" si="0"/>
        <v>62.970804762922242</v>
      </c>
      <c r="K51" s="7">
        <f t="shared" si="1"/>
        <v>51.022788970901146</v>
      </c>
      <c r="L51" s="8">
        <f t="shared" si="2"/>
        <v>34.706773537752341</v>
      </c>
      <c r="M51" s="2"/>
      <c r="N51" s="2"/>
    </row>
    <row r="52" spans="1:14" x14ac:dyDescent="0.2">
      <c r="A52" t="s">
        <v>29</v>
      </c>
      <c r="B52">
        <v>30</v>
      </c>
      <c r="C52" t="s">
        <v>58</v>
      </c>
      <c r="D52">
        <v>66999</v>
      </c>
      <c r="E52">
        <v>225759</v>
      </c>
      <c r="F52">
        <v>101697</v>
      </c>
      <c r="G52">
        <v>273452</v>
      </c>
      <c r="H52">
        <v>96618</v>
      </c>
      <c r="I52">
        <v>233195</v>
      </c>
      <c r="J52" s="7">
        <f t="shared" si="0"/>
        <v>54.229090238353862</v>
      </c>
      <c r="K52" s="7">
        <f t="shared" si="1"/>
        <v>45.783142164846502</v>
      </c>
      <c r="L52" s="8">
        <f t="shared" si="2"/>
        <v>41.410435610482303</v>
      </c>
      <c r="M52" s="2"/>
      <c r="N52" s="2"/>
    </row>
    <row r="53" spans="1:14" x14ac:dyDescent="0.2">
      <c r="A53" t="s">
        <v>29</v>
      </c>
      <c r="B53">
        <v>31</v>
      </c>
      <c r="C53" t="s">
        <v>59</v>
      </c>
      <c r="D53">
        <v>83888</v>
      </c>
      <c r="E53">
        <v>157364</v>
      </c>
      <c r="F53">
        <v>120410</v>
      </c>
      <c r="G53">
        <v>203333</v>
      </c>
      <c r="H53">
        <v>123733</v>
      </c>
      <c r="I53">
        <v>159433</v>
      </c>
      <c r="J53" s="7">
        <f t="shared" si="0"/>
        <v>30.456120571021174</v>
      </c>
      <c r="K53" s="7">
        <f t="shared" si="1"/>
        <v>25.613835665944901</v>
      </c>
      <c r="L53" s="8">
        <f t="shared" si="2"/>
        <v>12.607445809172004</v>
      </c>
      <c r="M53" s="2"/>
      <c r="N53" s="2"/>
    </row>
    <row r="54" spans="1:14" x14ac:dyDescent="0.2">
      <c r="A54" t="s">
        <v>29</v>
      </c>
      <c r="B54">
        <v>32</v>
      </c>
      <c r="C54" t="s">
        <v>60</v>
      </c>
      <c r="D54">
        <v>93210</v>
      </c>
      <c r="E54">
        <v>212185</v>
      </c>
      <c r="F54">
        <v>127773</v>
      </c>
      <c r="G54">
        <v>261121</v>
      </c>
      <c r="H54">
        <v>129605</v>
      </c>
      <c r="I54">
        <v>219567</v>
      </c>
      <c r="J54" s="7">
        <f t="shared" si="0"/>
        <v>38.957743250544375</v>
      </c>
      <c r="K54" s="7">
        <f t="shared" si="1"/>
        <v>34.289035058396379</v>
      </c>
      <c r="L54" s="8">
        <f t="shared" si="2"/>
        <v>25.764379732624608</v>
      </c>
      <c r="M54" s="2"/>
      <c r="N54" s="2"/>
    </row>
    <row r="55" spans="1:14" x14ac:dyDescent="0.2">
      <c r="A55" t="s">
        <v>29</v>
      </c>
      <c r="B55">
        <v>33</v>
      </c>
      <c r="C55" t="s">
        <v>61</v>
      </c>
      <c r="D55">
        <v>67605</v>
      </c>
      <c r="E55">
        <v>130175</v>
      </c>
      <c r="F55">
        <v>99061</v>
      </c>
      <c r="G55">
        <v>170325</v>
      </c>
      <c r="H55">
        <v>108364</v>
      </c>
      <c r="I55">
        <v>132778</v>
      </c>
      <c r="J55" s="7">
        <f t="shared" si="0"/>
        <v>31.636161391445039</v>
      </c>
      <c r="K55" s="7">
        <f t="shared" si="1"/>
        <v>26.454232959396556</v>
      </c>
      <c r="L55" s="8">
        <f t="shared" si="2"/>
        <v>10.124325086463577</v>
      </c>
      <c r="M55" s="2"/>
      <c r="N55" s="2"/>
    </row>
    <row r="56" spans="1:14" x14ac:dyDescent="0.2">
      <c r="A56" t="s">
        <v>29</v>
      </c>
      <c r="B56">
        <v>34</v>
      </c>
      <c r="C56" t="s">
        <v>62</v>
      </c>
      <c r="D56">
        <v>20440</v>
      </c>
      <c r="E56">
        <v>166571</v>
      </c>
      <c r="F56">
        <v>42312</v>
      </c>
      <c r="G56">
        <v>205047</v>
      </c>
      <c r="H56">
        <v>48089</v>
      </c>
      <c r="I56">
        <v>156727</v>
      </c>
      <c r="J56" s="7">
        <f t="shared" si="0"/>
        <v>78.140323296490578</v>
      </c>
      <c r="K56" s="7">
        <f t="shared" si="1"/>
        <v>65.788994942573339</v>
      </c>
      <c r="L56" s="8">
        <f t="shared" si="2"/>
        <v>53.041754550425743</v>
      </c>
      <c r="M56" s="2"/>
      <c r="N56" s="2"/>
    </row>
    <row r="57" spans="1:14" x14ac:dyDescent="0.2">
      <c r="A57" t="s">
        <v>29</v>
      </c>
      <c r="B57">
        <v>35</v>
      </c>
      <c r="C57" t="s">
        <v>63</v>
      </c>
      <c r="D57">
        <v>71126</v>
      </c>
      <c r="E57">
        <v>131214</v>
      </c>
      <c r="F57">
        <v>107853</v>
      </c>
      <c r="G57">
        <v>176058</v>
      </c>
      <c r="H57">
        <v>116134</v>
      </c>
      <c r="I57">
        <v>136329</v>
      </c>
      <c r="J57" s="7">
        <f t="shared" si="0"/>
        <v>29.69655036077889</v>
      </c>
      <c r="K57" s="7">
        <f t="shared" si="1"/>
        <v>24.023373521984002</v>
      </c>
      <c r="L57" s="8">
        <f t="shared" si="2"/>
        <v>7.9991919608021771</v>
      </c>
      <c r="M57" s="2"/>
      <c r="N57" s="2"/>
    </row>
    <row r="58" spans="1:14" x14ac:dyDescent="0.2">
      <c r="A58" t="s">
        <v>29</v>
      </c>
      <c r="B58">
        <v>36</v>
      </c>
      <c r="C58" t="s">
        <v>64</v>
      </c>
      <c r="D58">
        <v>88950</v>
      </c>
      <c r="E58">
        <v>248098</v>
      </c>
      <c r="F58">
        <v>113497</v>
      </c>
      <c r="G58">
        <v>299632</v>
      </c>
      <c r="H58">
        <v>111024</v>
      </c>
      <c r="I58">
        <v>261596</v>
      </c>
      <c r="J58" s="7">
        <f t="shared" si="0"/>
        <v>47.218200375020771</v>
      </c>
      <c r="K58" s="7">
        <f t="shared" si="1"/>
        <v>45.054934415158456</v>
      </c>
      <c r="L58" s="8">
        <f t="shared" si="2"/>
        <v>40.408995759755243</v>
      </c>
      <c r="M58" s="2"/>
      <c r="N58" s="2"/>
    </row>
    <row r="59" spans="1:14" x14ac:dyDescent="0.2">
      <c r="A59" t="s">
        <v>29</v>
      </c>
      <c r="B59">
        <v>37</v>
      </c>
      <c r="C59" t="s">
        <v>65</v>
      </c>
      <c r="D59">
        <v>16919</v>
      </c>
      <c r="E59">
        <v>204880</v>
      </c>
      <c r="F59">
        <v>34727</v>
      </c>
      <c r="G59">
        <v>239694</v>
      </c>
      <c r="H59">
        <v>42992</v>
      </c>
      <c r="I59">
        <v>185187</v>
      </c>
      <c r="J59" s="7">
        <f t="shared" si="0"/>
        <v>84.743844652139998</v>
      </c>
      <c r="K59" s="7">
        <f t="shared" si="1"/>
        <v>74.690712445476109</v>
      </c>
      <c r="L59" s="8">
        <f t="shared" si="2"/>
        <v>62.31730352048173</v>
      </c>
      <c r="M59" s="2"/>
      <c r="N59" s="2"/>
    </row>
    <row r="60" spans="1:14" x14ac:dyDescent="0.2">
      <c r="A60" t="s">
        <v>29</v>
      </c>
      <c r="B60">
        <v>38</v>
      </c>
      <c r="C60" t="s">
        <v>66</v>
      </c>
      <c r="D60">
        <v>72172</v>
      </c>
      <c r="E60">
        <v>154188</v>
      </c>
      <c r="F60">
        <v>106965</v>
      </c>
      <c r="G60">
        <v>192239</v>
      </c>
      <c r="H60">
        <v>110315</v>
      </c>
      <c r="I60">
        <v>142692</v>
      </c>
      <c r="J60" s="7">
        <f t="shared" si="0"/>
        <v>36.23254992048065</v>
      </c>
      <c r="K60" s="7">
        <f t="shared" si="1"/>
        <v>28.500287429312444</v>
      </c>
      <c r="L60" s="8">
        <f t="shared" si="2"/>
        <v>12.796879137731368</v>
      </c>
      <c r="M60" s="2"/>
      <c r="N60" s="2"/>
    </row>
    <row r="61" spans="1:14" x14ac:dyDescent="0.2">
      <c r="A61" t="s">
        <v>29</v>
      </c>
      <c r="B61">
        <v>39</v>
      </c>
      <c r="C61" t="s">
        <v>67</v>
      </c>
      <c r="D61">
        <v>67779</v>
      </c>
      <c r="E61">
        <v>126878</v>
      </c>
      <c r="F61">
        <v>95580</v>
      </c>
      <c r="G61">
        <v>164929</v>
      </c>
      <c r="H61">
        <v>102730</v>
      </c>
      <c r="I61">
        <v>125176</v>
      </c>
      <c r="J61" s="7">
        <f t="shared" si="0"/>
        <v>30.360582974154539</v>
      </c>
      <c r="K61" s="7">
        <f t="shared" si="1"/>
        <v>26.62057740807419</v>
      </c>
      <c r="L61" s="8">
        <f t="shared" si="2"/>
        <v>9.8487973111721505</v>
      </c>
      <c r="M61" s="2"/>
      <c r="N61" s="2"/>
    </row>
    <row r="62" spans="1:14" x14ac:dyDescent="0.2">
      <c r="A62" t="s">
        <v>29</v>
      </c>
      <c r="B62">
        <v>40</v>
      </c>
      <c r="C62" t="s">
        <v>68</v>
      </c>
      <c r="D62">
        <v>163266</v>
      </c>
      <c r="E62">
        <v>121928</v>
      </c>
      <c r="F62">
        <v>210083</v>
      </c>
      <c r="G62">
        <v>179744</v>
      </c>
      <c r="H62">
        <v>208143</v>
      </c>
      <c r="I62">
        <v>161562</v>
      </c>
      <c r="J62" s="7">
        <f t="shared" si="0"/>
        <v>-14.494694839302369</v>
      </c>
      <c r="K62" s="7">
        <f t="shared" si="1"/>
        <v>-7.7826830876260491</v>
      </c>
      <c r="L62" s="8">
        <f t="shared" si="2"/>
        <v>-12.599505010751816</v>
      </c>
      <c r="M62" s="2"/>
      <c r="N62" s="2"/>
    </row>
    <row r="63" spans="1:14" x14ac:dyDescent="0.2">
      <c r="A63" t="s">
        <v>29</v>
      </c>
      <c r="B63">
        <v>41</v>
      </c>
      <c r="C63" t="s">
        <v>69</v>
      </c>
      <c r="D63">
        <v>90662</v>
      </c>
      <c r="E63">
        <v>170270</v>
      </c>
      <c r="F63">
        <v>125512</v>
      </c>
      <c r="G63">
        <v>215396</v>
      </c>
      <c r="H63">
        <v>128616</v>
      </c>
      <c r="I63">
        <v>172636</v>
      </c>
      <c r="J63" s="7">
        <f t="shared" si="0"/>
        <v>30.509098155841368</v>
      </c>
      <c r="K63" s="7">
        <f t="shared" si="1"/>
        <v>26.366057704717988</v>
      </c>
      <c r="L63" s="8">
        <f t="shared" si="2"/>
        <v>14.612351121320359</v>
      </c>
      <c r="M63" s="2"/>
      <c r="N63" s="2"/>
    </row>
    <row r="64" spans="1:14" x14ac:dyDescent="0.2">
      <c r="A64" t="s">
        <v>29</v>
      </c>
      <c r="B64">
        <v>42</v>
      </c>
      <c r="C64" t="s">
        <v>70</v>
      </c>
      <c r="D64">
        <v>119343</v>
      </c>
      <c r="E64">
        <v>173517</v>
      </c>
      <c r="F64">
        <v>151313</v>
      </c>
      <c r="G64">
        <v>227988</v>
      </c>
      <c r="H64">
        <v>146358</v>
      </c>
      <c r="I64">
        <v>192318</v>
      </c>
      <c r="J64" s="7">
        <f t="shared" si="0"/>
        <v>18.498258553575088</v>
      </c>
      <c r="K64" s="7">
        <f t="shared" si="1"/>
        <v>20.214816201380962</v>
      </c>
      <c r="L64" s="8">
        <f t="shared" si="2"/>
        <v>13.570492151791091</v>
      </c>
      <c r="M64" s="2"/>
      <c r="N64" s="2"/>
    </row>
    <row r="65" spans="1:14" x14ac:dyDescent="0.2">
      <c r="A65" t="s">
        <v>29</v>
      </c>
      <c r="B65">
        <v>43</v>
      </c>
      <c r="C65" t="s">
        <v>71</v>
      </c>
      <c r="D65">
        <v>25041</v>
      </c>
      <c r="E65">
        <v>185173</v>
      </c>
      <c r="F65">
        <v>46038</v>
      </c>
      <c r="G65">
        <v>218705</v>
      </c>
      <c r="H65">
        <v>53414</v>
      </c>
      <c r="I65">
        <v>162810</v>
      </c>
      <c r="J65" s="7">
        <f t="shared" si="0"/>
        <v>76.175706660831338</v>
      </c>
      <c r="K65" s="7">
        <f t="shared" si="1"/>
        <v>65.220610176661893</v>
      </c>
      <c r="L65" s="8">
        <f t="shared" si="2"/>
        <v>50.593828622169603</v>
      </c>
      <c r="M65" s="2"/>
      <c r="N65" s="2"/>
    </row>
    <row r="66" spans="1:14" x14ac:dyDescent="0.2">
      <c r="A66" t="s">
        <v>29</v>
      </c>
      <c r="B66">
        <v>44</v>
      </c>
      <c r="C66" t="s">
        <v>72</v>
      </c>
      <c r="D66">
        <v>32208</v>
      </c>
      <c r="E66">
        <v>167919</v>
      </c>
      <c r="F66">
        <v>58412</v>
      </c>
      <c r="G66">
        <v>197434</v>
      </c>
      <c r="H66">
        <v>67794</v>
      </c>
      <c r="I66">
        <v>145104</v>
      </c>
      <c r="J66" s="7">
        <f t="shared" si="0"/>
        <v>67.812439101170753</v>
      </c>
      <c r="K66" s="7">
        <f t="shared" si="1"/>
        <v>54.338156547297991</v>
      </c>
      <c r="L66" s="8">
        <f t="shared" si="2"/>
        <v>36.313164050390327</v>
      </c>
      <c r="M66" s="2"/>
      <c r="N66" s="2"/>
    </row>
    <row r="67" spans="1:14" x14ac:dyDescent="0.2">
      <c r="A67" t="s">
        <v>29</v>
      </c>
      <c r="B67">
        <v>45</v>
      </c>
      <c r="C67" t="s">
        <v>73</v>
      </c>
      <c r="D67">
        <v>93147</v>
      </c>
      <c r="E67">
        <v>147086</v>
      </c>
      <c r="F67">
        <v>148046</v>
      </c>
      <c r="G67">
        <v>182099</v>
      </c>
      <c r="H67">
        <v>139879</v>
      </c>
      <c r="I67">
        <v>151753</v>
      </c>
      <c r="J67" s="7">
        <f t="shared" si="0"/>
        <v>22.452785420820621</v>
      </c>
      <c r="K67" s="7">
        <f t="shared" si="1"/>
        <v>10.314558754486665</v>
      </c>
      <c r="L67" s="8">
        <f t="shared" si="2"/>
        <v>4.0715696494211882</v>
      </c>
      <c r="M67" s="2"/>
      <c r="N67" s="2"/>
    </row>
    <row r="68" spans="1:14" x14ac:dyDescent="0.2">
      <c r="A68" t="s">
        <v>29</v>
      </c>
      <c r="B68">
        <v>46</v>
      </c>
      <c r="C68" t="s">
        <v>74</v>
      </c>
      <c r="D68">
        <v>60820</v>
      </c>
      <c r="E68">
        <v>130126</v>
      </c>
      <c r="F68">
        <v>90684</v>
      </c>
      <c r="G68">
        <v>164307</v>
      </c>
      <c r="H68">
        <v>91814</v>
      </c>
      <c r="I68">
        <v>128614</v>
      </c>
      <c r="J68" s="7">
        <f t="shared" si="0"/>
        <v>36.296125606192327</v>
      </c>
      <c r="K68" s="7">
        <f t="shared" si="1"/>
        <v>28.872783745308656</v>
      </c>
      <c r="L68" s="8">
        <f t="shared" si="2"/>
        <v>16.694793764857462</v>
      </c>
      <c r="M68" s="2"/>
      <c r="N68" s="2"/>
    </row>
    <row r="69" spans="1:14" x14ac:dyDescent="0.2">
      <c r="A69" t="s">
        <v>29</v>
      </c>
      <c r="B69">
        <v>47</v>
      </c>
      <c r="C69" t="s">
        <v>75</v>
      </c>
      <c r="D69">
        <v>122746</v>
      </c>
      <c r="E69">
        <v>155989</v>
      </c>
      <c r="F69">
        <v>157105</v>
      </c>
      <c r="G69">
        <v>219008</v>
      </c>
      <c r="H69">
        <v>154166</v>
      </c>
      <c r="I69">
        <v>190234</v>
      </c>
      <c r="J69" s="7">
        <f t="shared" si="0"/>
        <v>11.926381688700738</v>
      </c>
      <c r="K69" s="7">
        <f t="shared" si="1"/>
        <v>16.458617489956477</v>
      </c>
      <c r="L69" s="8">
        <f t="shared" si="2"/>
        <v>10.472706155632986</v>
      </c>
      <c r="M69" s="2"/>
      <c r="N69" s="2"/>
    </row>
    <row r="70" spans="1:14" x14ac:dyDescent="0.2">
      <c r="A70" t="s">
        <v>29</v>
      </c>
      <c r="B70">
        <v>48</v>
      </c>
      <c r="C70" t="s">
        <v>76</v>
      </c>
      <c r="D70">
        <v>123869</v>
      </c>
      <c r="E70">
        <v>122931</v>
      </c>
      <c r="F70">
        <v>154412</v>
      </c>
      <c r="G70">
        <v>179202</v>
      </c>
      <c r="H70">
        <v>154130</v>
      </c>
      <c r="I70">
        <v>165379</v>
      </c>
      <c r="J70" s="7">
        <f t="shared" si="0"/>
        <v>-0.38006482982171796</v>
      </c>
      <c r="K70" s="7">
        <f t="shared" si="1"/>
        <v>7.4307433141295025</v>
      </c>
      <c r="L70" s="8">
        <f t="shared" si="2"/>
        <v>3.5207145964589417</v>
      </c>
      <c r="M70" s="2"/>
      <c r="N70" s="2"/>
    </row>
    <row r="71" spans="1:14" x14ac:dyDescent="0.2">
      <c r="A71" t="s">
        <v>29</v>
      </c>
      <c r="B71">
        <v>49</v>
      </c>
      <c r="C71" t="s">
        <v>77</v>
      </c>
      <c r="D71">
        <v>136094</v>
      </c>
      <c r="E71">
        <v>166708</v>
      </c>
      <c r="F71">
        <v>167891</v>
      </c>
      <c r="G71">
        <v>229526</v>
      </c>
      <c r="H71">
        <v>164903</v>
      </c>
      <c r="I71">
        <v>211929</v>
      </c>
      <c r="J71" s="7">
        <f t="shared" si="0"/>
        <v>10.110237052595425</v>
      </c>
      <c r="K71" s="7">
        <f t="shared" si="1"/>
        <v>15.508898713442051</v>
      </c>
      <c r="L71" s="8">
        <f t="shared" si="2"/>
        <v>12.479301120923914</v>
      </c>
      <c r="M71" s="2"/>
      <c r="N71" s="2"/>
    </row>
    <row r="72" spans="1:14" x14ac:dyDescent="0.2">
      <c r="A72" t="s">
        <v>29</v>
      </c>
      <c r="B72">
        <v>50</v>
      </c>
      <c r="C72" t="s">
        <v>78</v>
      </c>
      <c r="D72">
        <v>129599</v>
      </c>
      <c r="E72">
        <v>177367</v>
      </c>
      <c r="F72">
        <v>154464</v>
      </c>
      <c r="G72">
        <v>239765</v>
      </c>
      <c r="H72">
        <v>146222</v>
      </c>
      <c r="I72">
        <v>214075</v>
      </c>
      <c r="J72" s="7">
        <f t="shared" si="0"/>
        <v>15.56133252542627</v>
      </c>
      <c r="K72" s="7">
        <f t="shared" si="1"/>
        <v>21.637423933804971</v>
      </c>
      <c r="L72" s="8">
        <f t="shared" si="2"/>
        <v>18.832518727605283</v>
      </c>
      <c r="M72" s="2"/>
      <c r="N72" s="2"/>
    </row>
    <row r="73" spans="1:14" x14ac:dyDescent="0.2">
      <c r="A73" t="s">
        <v>29</v>
      </c>
      <c r="B73">
        <v>51</v>
      </c>
      <c r="C73" t="s">
        <v>79</v>
      </c>
      <c r="D73">
        <v>118963</v>
      </c>
      <c r="E73">
        <v>180744</v>
      </c>
      <c r="F73">
        <v>145350</v>
      </c>
      <c r="G73">
        <v>233972</v>
      </c>
      <c r="H73">
        <v>140213</v>
      </c>
      <c r="I73">
        <v>205084</v>
      </c>
      <c r="J73" s="7">
        <f t="shared" si="0"/>
        <v>20.613799477489682</v>
      </c>
      <c r="K73" s="7">
        <f t="shared" si="1"/>
        <v>23.363263928799281</v>
      </c>
      <c r="L73" s="8">
        <f t="shared" si="2"/>
        <v>18.787015236159014</v>
      </c>
      <c r="M73" s="2"/>
      <c r="N73" s="2"/>
    </row>
    <row r="74" spans="1:14" x14ac:dyDescent="0.2">
      <c r="A74" t="s">
        <v>29</v>
      </c>
      <c r="B74">
        <v>52</v>
      </c>
      <c r="C74" t="s">
        <v>80</v>
      </c>
      <c r="D74">
        <v>64326</v>
      </c>
      <c r="E74">
        <v>166832</v>
      </c>
      <c r="F74">
        <v>99185</v>
      </c>
      <c r="G74">
        <v>201155</v>
      </c>
      <c r="H74">
        <v>108793</v>
      </c>
      <c r="I74">
        <v>156736</v>
      </c>
      <c r="J74" s="7">
        <f t="shared" si="0"/>
        <v>44.344560863132578</v>
      </c>
      <c r="K74" s="7">
        <f t="shared" si="1"/>
        <v>33.951521608843308</v>
      </c>
      <c r="L74" s="8">
        <f t="shared" si="2"/>
        <v>18.055654937878725</v>
      </c>
      <c r="M74" s="2"/>
      <c r="N74" s="2"/>
    </row>
    <row r="75" spans="1:14" x14ac:dyDescent="0.2">
      <c r="A75" t="s">
        <v>82</v>
      </c>
      <c r="B75">
        <v>1</v>
      </c>
      <c r="C75" t="s">
        <v>81</v>
      </c>
      <c r="D75">
        <v>63328</v>
      </c>
      <c r="E75">
        <v>246182</v>
      </c>
      <c r="F75">
        <v>72264</v>
      </c>
      <c r="G75">
        <v>315411</v>
      </c>
      <c r="H75">
        <v>75479</v>
      </c>
      <c r="I75">
        <v>280662</v>
      </c>
      <c r="J75" s="7">
        <f t="shared" si="0"/>
        <v>59.07854350424865</v>
      </c>
      <c r="K75" s="7">
        <f t="shared" si="1"/>
        <v>62.719288063455217</v>
      </c>
      <c r="L75" s="8">
        <f t="shared" si="2"/>
        <v>57.612855582479973</v>
      </c>
      <c r="M75" s="2"/>
      <c r="N75" s="2"/>
    </row>
    <row r="76" spans="1:14" x14ac:dyDescent="0.2">
      <c r="A76" t="s">
        <v>82</v>
      </c>
      <c r="B76">
        <v>2</v>
      </c>
      <c r="C76" t="s">
        <v>83</v>
      </c>
      <c r="D76">
        <v>121013</v>
      </c>
      <c r="E76">
        <v>242637</v>
      </c>
      <c r="F76">
        <v>128285</v>
      </c>
      <c r="G76">
        <v>306101</v>
      </c>
      <c r="H76">
        <v>123973</v>
      </c>
      <c r="I76">
        <v>295692</v>
      </c>
      <c r="J76" s="7">
        <f t="shared" si="0"/>
        <v>33.445345799532518</v>
      </c>
      <c r="K76" s="7">
        <f t="shared" si="1"/>
        <v>40.935020926088775</v>
      </c>
      <c r="L76" s="8">
        <f t="shared" si="2"/>
        <v>40.918113257002609</v>
      </c>
      <c r="M76" s="2"/>
      <c r="N76" s="2"/>
    </row>
    <row r="77" spans="1:14" x14ac:dyDescent="0.2">
      <c r="A77" t="s">
        <v>82</v>
      </c>
      <c r="B77">
        <v>3</v>
      </c>
      <c r="C77" t="s">
        <v>84</v>
      </c>
      <c r="D77">
        <v>189722</v>
      </c>
      <c r="E77">
        <v>139223</v>
      </c>
      <c r="F77">
        <v>218132</v>
      </c>
      <c r="G77">
        <v>184077</v>
      </c>
      <c r="H77">
        <v>218065</v>
      </c>
      <c r="I77">
        <v>178501</v>
      </c>
      <c r="J77" s="7">
        <f t="shared" si="0"/>
        <v>-15.351806533007037</v>
      </c>
      <c r="K77" s="7">
        <f t="shared" si="1"/>
        <v>-8.4669910419707168</v>
      </c>
      <c r="L77" s="8">
        <f t="shared" si="2"/>
        <v>-9.9766495362688676</v>
      </c>
      <c r="M77" s="2"/>
      <c r="N77" s="2"/>
    </row>
    <row r="78" spans="1:14" x14ac:dyDescent="0.2">
      <c r="A78" t="s">
        <v>82</v>
      </c>
      <c r="B78">
        <v>4</v>
      </c>
      <c r="C78" t="s">
        <v>85</v>
      </c>
      <c r="D78">
        <v>217246</v>
      </c>
      <c r="E78">
        <v>117043</v>
      </c>
      <c r="F78">
        <v>256519</v>
      </c>
      <c r="G78">
        <v>174438</v>
      </c>
      <c r="H78">
        <v>267114</v>
      </c>
      <c r="I78">
        <v>182901</v>
      </c>
      <c r="J78" s="7">
        <f t="shared" si="0"/>
        <v>-29.974961784563657</v>
      </c>
      <c r="K78" s="7">
        <f t="shared" si="1"/>
        <v>-19.046215747742814</v>
      </c>
      <c r="L78" s="8">
        <f t="shared" si="2"/>
        <v>-18.71337622079264</v>
      </c>
      <c r="M78" s="2"/>
      <c r="N78" s="2"/>
    </row>
    <row r="79" spans="1:14" x14ac:dyDescent="0.2">
      <c r="A79" t="s">
        <v>82</v>
      </c>
      <c r="B79">
        <v>5</v>
      </c>
      <c r="C79" t="s">
        <v>86</v>
      </c>
      <c r="D79">
        <v>175769</v>
      </c>
      <c r="E79">
        <v>107228</v>
      </c>
      <c r="F79">
        <v>198678</v>
      </c>
      <c r="G79">
        <v>160941</v>
      </c>
      <c r="H79">
        <v>199615</v>
      </c>
      <c r="I79">
        <v>165522</v>
      </c>
      <c r="J79" s="7">
        <f t="shared" si="0"/>
        <v>-24.219691374820229</v>
      </c>
      <c r="K79" s="7">
        <f t="shared" si="1"/>
        <v>-10.49360573273381</v>
      </c>
      <c r="L79" s="8">
        <f t="shared" si="2"/>
        <v>-9.3370433563292679</v>
      </c>
      <c r="M79" s="2"/>
      <c r="N79" s="2"/>
    </row>
    <row r="80" spans="1:14" x14ac:dyDescent="0.2">
      <c r="A80" t="s">
        <v>82</v>
      </c>
      <c r="B80">
        <v>6</v>
      </c>
      <c r="C80" t="s">
        <v>87</v>
      </c>
      <c r="D80">
        <v>130388</v>
      </c>
      <c r="E80">
        <v>174439</v>
      </c>
      <c r="F80">
        <v>141250</v>
      </c>
      <c r="G80">
        <v>232905</v>
      </c>
      <c r="H80">
        <v>139305</v>
      </c>
      <c r="I80">
        <v>210533</v>
      </c>
      <c r="J80" s="7">
        <f t="shared" si="0"/>
        <v>14.451147700170916</v>
      </c>
      <c r="K80" s="7">
        <f t="shared" si="1"/>
        <v>24.496532185858801</v>
      </c>
      <c r="L80" s="8">
        <f t="shared" si="2"/>
        <v>20.360281044369106</v>
      </c>
      <c r="M80" s="2"/>
      <c r="N80" s="2"/>
    </row>
    <row r="81" spans="1:14" x14ac:dyDescent="0.2">
      <c r="A81" t="s">
        <v>82</v>
      </c>
      <c r="B81">
        <v>7</v>
      </c>
      <c r="C81" t="s">
        <v>88</v>
      </c>
      <c r="D81">
        <v>173896</v>
      </c>
      <c r="E81">
        <v>185521</v>
      </c>
      <c r="F81">
        <v>191020</v>
      </c>
      <c r="G81">
        <v>256139</v>
      </c>
      <c r="H81">
        <v>183164</v>
      </c>
      <c r="I81">
        <v>249924</v>
      </c>
      <c r="J81" s="7">
        <f t="shared" si="0"/>
        <v>3.2344046052357007</v>
      </c>
      <c r="K81" s="7">
        <f t="shared" si="1"/>
        <v>14.562828881896598</v>
      </c>
      <c r="L81" s="8">
        <f t="shared" si="2"/>
        <v>15.41488104034284</v>
      </c>
      <c r="M81" s="2"/>
      <c r="N81" s="2"/>
    </row>
    <row r="82" spans="1:14" x14ac:dyDescent="0.2">
      <c r="A82" t="s">
        <v>82</v>
      </c>
      <c r="B82">
        <v>8</v>
      </c>
      <c r="C82" t="s">
        <v>89</v>
      </c>
      <c r="D82">
        <v>130987</v>
      </c>
      <c r="E82">
        <v>125714</v>
      </c>
      <c r="F82">
        <v>158489</v>
      </c>
      <c r="G82">
        <v>173827</v>
      </c>
      <c r="H82">
        <v>170726</v>
      </c>
      <c r="I82">
        <v>164426</v>
      </c>
      <c r="J82" s="7">
        <f t="shared" si="0"/>
        <v>-2.0541408097358405</v>
      </c>
      <c r="K82" s="7">
        <f t="shared" si="1"/>
        <v>4.6154864646902345</v>
      </c>
      <c r="L82" s="8">
        <f t="shared" si="2"/>
        <v>-1.8797441161025445</v>
      </c>
      <c r="M82" s="2"/>
      <c r="N82" s="2"/>
    </row>
    <row r="83" spans="1:14" x14ac:dyDescent="0.2">
      <c r="A83" t="s">
        <v>91</v>
      </c>
      <c r="B83">
        <v>1</v>
      </c>
      <c r="C83" t="s">
        <v>90</v>
      </c>
      <c r="D83">
        <v>118361</v>
      </c>
      <c r="E83">
        <v>194436</v>
      </c>
      <c r="F83">
        <v>126767</v>
      </c>
      <c r="G83">
        <v>227773</v>
      </c>
      <c r="H83">
        <v>129726</v>
      </c>
      <c r="I83">
        <v>208405</v>
      </c>
      <c r="J83" s="7">
        <f t="shared" si="0"/>
        <v>24.320885430486864</v>
      </c>
      <c r="K83" s="7">
        <f t="shared" si="1"/>
        <v>28.489310091950131</v>
      </c>
      <c r="L83" s="8">
        <f t="shared" si="2"/>
        <v>23.26879227281734</v>
      </c>
      <c r="M83" s="2"/>
      <c r="N83" s="2"/>
    </row>
    <row r="84" spans="1:14" x14ac:dyDescent="0.2">
      <c r="A84" t="s">
        <v>91</v>
      </c>
      <c r="B84">
        <v>2</v>
      </c>
      <c r="C84" t="s">
        <v>92</v>
      </c>
      <c r="D84">
        <v>160571</v>
      </c>
      <c r="E84">
        <v>172536</v>
      </c>
      <c r="F84">
        <v>169454</v>
      </c>
      <c r="G84">
        <v>214327</v>
      </c>
      <c r="H84">
        <v>175984</v>
      </c>
      <c r="I84">
        <v>205994</v>
      </c>
      <c r="J84" s="7">
        <f t="shared" ref="J84:J147" si="3">(E84-D84)/(E84+D84)*100</f>
        <v>3.5919389265311144</v>
      </c>
      <c r="K84" s="7">
        <f t="shared" ref="K84:K147" si="4">(G84-F84)/(G84+F84)*100</f>
        <v>11.692345374054474</v>
      </c>
      <c r="L84" s="8">
        <f t="shared" ref="L84:L147" si="5">(I84-H84)/(I84+H84)*100</f>
        <v>7.8564734094633728</v>
      </c>
      <c r="M84" s="2"/>
      <c r="N84" s="2"/>
    </row>
    <row r="85" spans="1:14" x14ac:dyDescent="0.2">
      <c r="A85" t="s">
        <v>91</v>
      </c>
      <c r="B85">
        <v>3</v>
      </c>
      <c r="C85" t="s">
        <v>93</v>
      </c>
      <c r="D85">
        <v>134308</v>
      </c>
      <c r="E85">
        <v>179659</v>
      </c>
      <c r="F85">
        <v>142147</v>
      </c>
      <c r="G85">
        <v>213005</v>
      </c>
      <c r="H85">
        <v>143737</v>
      </c>
      <c r="I85">
        <v>191831</v>
      </c>
      <c r="J85" s="7">
        <f t="shared" si="3"/>
        <v>14.444511684348992</v>
      </c>
      <c r="K85" s="7">
        <f t="shared" si="4"/>
        <v>19.951457404153714</v>
      </c>
      <c r="L85" s="8">
        <f t="shared" si="5"/>
        <v>14.332117484384685</v>
      </c>
      <c r="M85" s="2"/>
      <c r="N85" s="2"/>
    </row>
    <row r="86" spans="1:14" x14ac:dyDescent="0.2">
      <c r="A86" t="s">
        <v>91</v>
      </c>
      <c r="B86">
        <v>4</v>
      </c>
      <c r="C86" t="s">
        <v>94</v>
      </c>
      <c r="D86">
        <v>113092</v>
      </c>
      <c r="E86">
        <v>190547</v>
      </c>
      <c r="F86">
        <v>119647</v>
      </c>
      <c r="G86">
        <v>230445</v>
      </c>
      <c r="H86">
        <v>127034</v>
      </c>
      <c r="I86">
        <v>206080</v>
      </c>
      <c r="J86" s="7">
        <f t="shared" si="3"/>
        <v>25.50891025197685</v>
      </c>
      <c r="K86" s="7">
        <f t="shared" si="4"/>
        <v>31.648252459353543</v>
      </c>
      <c r="L86" s="8">
        <f t="shared" si="5"/>
        <v>23.729413954381982</v>
      </c>
      <c r="M86" s="2"/>
      <c r="N86" s="2"/>
    </row>
    <row r="87" spans="1:14" x14ac:dyDescent="0.2">
      <c r="A87" t="s">
        <v>91</v>
      </c>
      <c r="B87">
        <v>5</v>
      </c>
      <c r="C87" t="s">
        <v>95</v>
      </c>
      <c r="D87">
        <v>146883</v>
      </c>
      <c r="E87">
        <v>160363</v>
      </c>
      <c r="F87">
        <v>156775</v>
      </c>
      <c r="G87">
        <v>195146</v>
      </c>
      <c r="H87">
        <v>160437</v>
      </c>
      <c r="I87">
        <v>179743</v>
      </c>
      <c r="J87" s="7">
        <f t="shared" si="3"/>
        <v>4.3873638712953138</v>
      </c>
      <c r="K87" s="7">
        <f t="shared" si="4"/>
        <v>10.903299320017846</v>
      </c>
      <c r="L87" s="8">
        <f t="shared" si="5"/>
        <v>5.6752307601857845</v>
      </c>
      <c r="M87" s="2"/>
      <c r="N87" s="2"/>
    </row>
    <row r="88" spans="1:14" x14ac:dyDescent="0.2">
      <c r="A88" t="s">
        <v>97</v>
      </c>
      <c r="B88">
        <v>1</v>
      </c>
      <c r="C88" t="s">
        <v>96</v>
      </c>
      <c r="D88">
        <v>185127</v>
      </c>
      <c r="E88">
        <v>235603</v>
      </c>
      <c r="F88">
        <v>200603</v>
      </c>
      <c r="G88">
        <v>296268</v>
      </c>
      <c r="H88">
        <v>214351</v>
      </c>
      <c r="I88">
        <v>289758</v>
      </c>
      <c r="J88" s="7">
        <f t="shared" si="3"/>
        <v>11.997242887362441</v>
      </c>
      <c r="K88" s="7">
        <f t="shared" si="4"/>
        <v>19.253488329968945</v>
      </c>
      <c r="L88" s="8">
        <f t="shared" si="5"/>
        <v>14.958471282996335</v>
      </c>
      <c r="M88" s="2"/>
      <c r="N88" s="2"/>
    </row>
    <row r="89" spans="1:14" x14ac:dyDescent="0.2">
      <c r="A89" t="s">
        <v>99</v>
      </c>
      <c r="B89">
        <v>1</v>
      </c>
      <c r="C89" t="s">
        <v>98</v>
      </c>
      <c r="D89">
        <v>243235</v>
      </c>
      <c r="E89">
        <v>103967</v>
      </c>
      <c r="F89">
        <v>275636</v>
      </c>
      <c r="G89">
        <v>139185</v>
      </c>
      <c r="H89">
        <v>286314</v>
      </c>
      <c r="I89">
        <v>130049</v>
      </c>
      <c r="J89" s="7">
        <f t="shared" si="3"/>
        <v>-40.111520094930327</v>
      </c>
      <c r="K89" s="7">
        <f t="shared" si="4"/>
        <v>-32.893947027754137</v>
      </c>
      <c r="L89" s="8">
        <f t="shared" si="5"/>
        <v>-37.530952558224435</v>
      </c>
      <c r="M89" s="2"/>
      <c r="N89" s="2"/>
    </row>
    <row r="90" spans="1:14" x14ac:dyDescent="0.2">
      <c r="A90" t="s">
        <v>99</v>
      </c>
      <c r="B90">
        <v>2</v>
      </c>
      <c r="C90" t="s">
        <v>100</v>
      </c>
      <c r="D90">
        <v>204719</v>
      </c>
      <c r="E90">
        <v>159674</v>
      </c>
      <c r="F90">
        <v>225598</v>
      </c>
      <c r="G90">
        <v>180276</v>
      </c>
      <c r="H90">
        <v>240957</v>
      </c>
      <c r="I90">
        <v>166211</v>
      </c>
      <c r="J90" s="7">
        <f t="shared" si="3"/>
        <v>-12.36165348950172</v>
      </c>
      <c r="K90" s="7">
        <f t="shared" si="4"/>
        <v>-11.166519658810369</v>
      </c>
      <c r="L90" s="8">
        <f t="shared" si="5"/>
        <v>-18.357533008487898</v>
      </c>
      <c r="M90" s="2"/>
      <c r="N90" s="2"/>
    </row>
    <row r="91" spans="1:14" x14ac:dyDescent="0.2">
      <c r="A91" t="s">
        <v>99</v>
      </c>
      <c r="B91">
        <v>3</v>
      </c>
      <c r="C91" t="s">
        <v>101</v>
      </c>
      <c r="D91">
        <v>192723</v>
      </c>
      <c r="E91">
        <v>141300</v>
      </c>
      <c r="F91">
        <v>222083</v>
      </c>
      <c r="G91">
        <v>166551</v>
      </c>
      <c r="H91">
        <v>239780</v>
      </c>
      <c r="I91">
        <v>155690</v>
      </c>
      <c r="J91" s="7">
        <f t="shared" si="3"/>
        <v>-15.395047646419558</v>
      </c>
      <c r="K91" s="7">
        <f t="shared" si="4"/>
        <v>-14.289022576511575</v>
      </c>
      <c r="L91" s="8">
        <f t="shared" si="5"/>
        <v>-21.263306951222596</v>
      </c>
      <c r="M91" s="2"/>
      <c r="N91" s="2"/>
    </row>
    <row r="92" spans="1:14" x14ac:dyDescent="0.2">
      <c r="A92" t="s">
        <v>99</v>
      </c>
      <c r="B92">
        <v>4</v>
      </c>
      <c r="C92" t="s">
        <v>102</v>
      </c>
      <c r="D92">
        <v>185371</v>
      </c>
      <c r="E92">
        <v>148978</v>
      </c>
      <c r="F92">
        <v>210799</v>
      </c>
      <c r="G92">
        <v>184083</v>
      </c>
      <c r="H92">
        <v>220106</v>
      </c>
      <c r="I92">
        <v>173072</v>
      </c>
      <c r="J92" s="7">
        <f t="shared" si="3"/>
        <v>-10.884734214847359</v>
      </c>
      <c r="K92" s="7">
        <f t="shared" si="4"/>
        <v>-6.765565409413445</v>
      </c>
      <c r="L92" s="8">
        <f t="shared" si="5"/>
        <v>-11.962520792109427</v>
      </c>
      <c r="M92" s="2"/>
      <c r="N92" s="2"/>
    </row>
    <row r="93" spans="1:14" x14ac:dyDescent="0.2">
      <c r="A93" t="s">
        <v>99</v>
      </c>
      <c r="B93">
        <v>5</v>
      </c>
      <c r="C93" t="s">
        <v>103</v>
      </c>
      <c r="D93">
        <v>209960</v>
      </c>
      <c r="E93">
        <v>131420</v>
      </c>
      <c r="F93">
        <v>244326</v>
      </c>
      <c r="G93">
        <v>176967</v>
      </c>
      <c r="H93">
        <v>262791</v>
      </c>
      <c r="I93">
        <v>169104</v>
      </c>
      <c r="J93" s="7">
        <f t="shared" si="3"/>
        <v>-23.006620188646085</v>
      </c>
      <c r="K93" s="7">
        <f t="shared" si="4"/>
        <v>-15.988634988001223</v>
      </c>
      <c r="L93" s="8">
        <f t="shared" si="5"/>
        <v>-21.692077935609351</v>
      </c>
      <c r="M93" s="2"/>
      <c r="N93" s="2"/>
    </row>
    <row r="94" spans="1:14" x14ac:dyDescent="0.2">
      <c r="A94" t="s">
        <v>99</v>
      </c>
      <c r="B94">
        <v>6</v>
      </c>
      <c r="C94" t="s">
        <v>104</v>
      </c>
      <c r="D94">
        <v>218563</v>
      </c>
      <c r="E94">
        <v>132990</v>
      </c>
      <c r="F94">
        <v>261985</v>
      </c>
      <c r="G94">
        <v>160936</v>
      </c>
      <c r="H94">
        <v>285400</v>
      </c>
      <c r="I94">
        <v>152648</v>
      </c>
      <c r="J94" s="7">
        <f t="shared" si="3"/>
        <v>-24.341422203764441</v>
      </c>
      <c r="K94" s="7">
        <f t="shared" si="4"/>
        <v>-23.893114789759789</v>
      </c>
      <c r="L94" s="8">
        <f t="shared" si="5"/>
        <v>-30.30535466432902</v>
      </c>
      <c r="M94" s="2"/>
      <c r="N94" s="2"/>
    </row>
    <row r="95" spans="1:14" x14ac:dyDescent="0.2">
      <c r="A95" t="s">
        <v>99</v>
      </c>
      <c r="B95">
        <v>7</v>
      </c>
      <c r="C95" t="s">
        <v>105</v>
      </c>
      <c r="D95">
        <v>192278</v>
      </c>
      <c r="E95">
        <v>163712</v>
      </c>
      <c r="F95">
        <v>225947</v>
      </c>
      <c r="G95">
        <v>202075</v>
      </c>
      <c r="H95">
        <v>237638</v>
      </c>
      <c r="I95">
        <v>184389</v>
      </c>
      <c r="J95" s="7">
        <f t="shared" si="3"/>
        <v>-8.0243827073794218</v>
      </c>
      <c r="K95" s="7">
        <f t="shared" si="4"/>
        <v>-5.5772834106658076</v>
      </c>
      <c r="L95" s="8">
        <f t="shared" si="5"/>
        <v>-12.617439168583999</v>
      </c>
      <c r="M95" s="2"/>
      <c r="N95" s="2"/>
    </row>
    <row r="96" spans="1:14" x14ac:dyDescent="0.2">
      <c r="A96" t="s">
        <v>99</v>
      </c>
      <c r="B96">
        <v>8</v>
      </c>
      <c r="C96" t="s">
        <v>106</v>
      </c>
      <c r="D96">
        <v>231314</v>
      </c>
      <c r="E96">
        <v>149083</v>
      </c>
      <c r="F96">
        <v>267764</v>
      </c>
      <c r="G96">
        <v>186835</v>
      </c>
      <c r="H96">
        <v>280407</v>
      </c>
      <c r="I96">
        <v>177212</v>
      </c>
      <c r="J96" s="7">
        <f t="shared" si="3"/>
        <v>-21.61715260635599</v>
      </c>
      <c r="K96" s="7">
        <f t="shared" si="4"/>
        <v>-17.802282891075428</v>
      </c>
      <c r="L96" s="8">
        <f t="shared" si="5"/>
        <v>-22.550418579648134</v>
      </c>
      <c r="M96" s="2"/>
      <c r="N96" s="2"/>
    </row>
    <row r="97" spans="1:14" x14ac:dyDescent="0.2">
      <c r="A97" t="s">
        <v>99</v>
      </c>
      <c r="B97">
        <v>9</v>
      </c>
      <c r="C97" t="s">
        <v>107</v>
      </c>
      <c r="D97">
        <v>97293</v>
      </c>
      <c r="E97">
        <v>170996</v>
      </c>
      <c r="F97">
        <v>139012</v>
      </c>
      <c r="G97">
        <v>198280</v>
      </c>
      <c r="H97">
        <v>157999</v>
      </c>
      <c r="I97">
        <v>169678</v>
      </c>
      <c r="J97" s="7">
        <f t="shared" si="3"/>
        <v>27.47149529052626</v>
      </c>
      <c r="K97" s="7">
        <f t="shared" si="4"/>
        <v>17.571718273780583</v>
      </c>
      <c r="L97" s="8">
        <f t="shared" si="5"/>
        <v>3.5641805802665432</v>
      </c>
      <c r="M97" s="2"/>
      <c r="N97" s="2"/>
    </row>
    <row r="98" spans="1:14" x14ac:dyDescent="0.2">
      <c r="A98" t="s">
        <v>99</v>
      </c>
      <c r="B98">
        <v>10</v>
      </c>
      <c r="C98" t="s">
        <v>108</v>
      </c>
      <c r="D98">
        <v>94755</v>
      </c>
      <c r="E98">
        <v>191855</v>
      </c>
      <c r="F98">
        <v>112515</v>
      </c>
      <c r="G98">
        <v>219034</v>
      </c>
      <c r="H98">
        <v>114482</v>
      </c>
      <c r="I98">
        <v>182937</v>
      </c>
      <c r="J98" s="7">
        <f t="shared" si="3"/>
        <v>33.878789993370781</v>
      </c>
      <c r="K98" s="7">
        <f t="shared" si="4"/>
        <v>32.127679468193236</v>
      </c>
      <c r="L98" s="8">
        <f t="shared" si="5"/>
        <v>23.016350670266526</v>
      </c>
      <c r="M98" s="2"/>
      <c r="N98" s="2"/>
    </row>
    <row r="99" spans="1:14" x14ac:dyDescent="0.2">
      <c r="A99" t="s">
        <v>99</v>
      </c>
      <c r="B99">
        <v>11</v>
      </c>
      <c r="C99" t="s">
        <v>109</v>
      </c>
      <c r="D99">
        <v>187300</v>
      </c>
      <c r="E99">
        <v>136944</v>
      </c>
      <c r="F99">
        <v>234696</v>
      </c>
      <c r="G99">
        <v>188342</v>
      </c>
      <c r="H99">
        <v>263141</v>
      </c>
      <c r="I99">
        <v>189098</v>
      </c>
      <c r="J99" s="7">
        <f t="shared" si="3"/>
        <v>-15.530279665930596</v>
      </c>
      <c r="K99" s="7">
        <f t="shared" si="4"/>
        <v>-10.957408081543502</v>
      </c>
      <c r="L99" s="8">
        <f t="shared" si="5"/>
        <v>-16.372537529934394</v>
      </c>
      <c r="M99" s="2"/>
      <c r="N99" s="2"/>
    </row>
    <row r="100" spans="1:14" x14ac:dyDescent="0.2">
      <c r="A100" t="s">
        <v>99</v>
      </c>
      <c r="B100">
        <v>12</v>
      </c>
      <c r="C100" t="s">
        <v>110</v>
      </c>
      <c r="D100">
        <v>223723</v>
      </c>
      <c r="E100">
        <v>121645</v>
      </c>
      <c r="F100">
        <v>273518</v>
      </c>
      <c r="G100">
        <v>150602</v>
      </c>
      <c r="H100">
        <v>296459</v>
      </c>
      <c r="I100">
        <v>143215</v>
      </c>
      <c r="J100" s="7">
        <f t="shared" si="3"/>
        <v>-29.556299367631052</v>
      </c>
      <c r="K100" s="7">
        <f t="shared" si="4"/>
        <v>-28.981420352730357</v>
      </c>
      <c r="L100" s="8">
        <f t="shared" si="5"/>
        <v>-34.854005467687422</v>
      </c>
      <c r="M100" s="2"/>
      <c r="N100" s="2"/>
    </row>
    <row r="101" spans="1:14" x14ac:dyDescent="0.2">
      <c r="A101" t="s">
        <v>99</v>
      </c>
      <c r="B101">
        <v>13</v>
      </c>
      <c r="C101" t="s">
        <v>111</v>
      </c>
      <c r="D101">
        <v>207598</v>
      </c>
      <c r="E101">
        <v>175909</v>
      </c>
      <c r="F101">
        <v>238290</v>
      </c>
      <c r="G101">
        <v>207783</v>
      </c>
      <c r="H101">
        <v>231968</v>
      </c>
      <c r="I101">
        <v>182362</v>
      </c>
      <c r="J101" s="7">
        <f t="shared" si="3"/>
        <v>-8.2629521755795849</v>
      </c>
      <c r="K101" s="7">
        <f t="shared" si="4"/>
        <v>-6.8390151387777331</v>
      </c>
      <c r="L101" s="8">
        <f t="shared" si="5"/>
        <v>-11.972582241208698</v>
      </c>
      <c r="M101" s="2"/>
      <c r="N101" s="2"/>
    </row>
    <row r="102" spans="1:14" x14ac:dyDescent="0.2">
      <c r="A102" t="s">
        <v>99</v>
      </c>
      <c r="B102">
        <v>14</v>
      </c>
      <c r="C102" t="s">
        <v>112</v>
      </c>
      <c r="D102">
        <v>124638</v>
      </c>
      <c r="E102">
        <v>198672</v>
      </c>
      <c r="F102">
        <v>156145</v>
      </c>
      <c r="G102">
        <v>231486</v>
      </c>
      <c r="H102">
        <v>163008</v>
      </c>
      <c r="I102">
        <v>190432</v>
      </c>
      <c r="J102" s="7">
        <f t="shared" si="3"/>
        <v>22.898765890321982</v>
      </c>
      <c r="K102" s="7">
        <f t="shared" si="4"/>
        <v>19.436267997141613</v>
      </c>
      <c r="L102" s="8">
        <f t="shared" si="5"/>
        <v>7.7591670439112717</v>
      </c>
      <c r="M102" s="2"/>
      <c r="N102" s="2"/>
    </row>
    <row r="103" spans="1:14" x14ac:dyDescent="0.2">
      <c r="A103" t="s">
        <v>99</v>
      </c>
      <c r="B103">
        <v>15</v>
      </c>
      <c r="C103" t="s">
        <v>113</v>
      </c>
      <c r="D103">
        <v>156230</v>
      </c>
      <c r="E103">
        <v>144134</v>
      </c>
      <c r="F103">
        <v>187682</v>
      </c>
      <c r="G103">
        <v>176174</v>
      </c>
      <c r="H103">
        <v>195539</v>
      </c>
      <c r="I103">
        <v>155664</v>
      </c>
      <c r="J103" s="7">
        <f t="shared" si="3"/>
        <v>-4.027113768627399</v>
      </c>
      <c r="K103" s="7">
        <f t="shared" si="4"/>
        <v>-3.1627896750362781</v>
      </c>
      <c r="L103" s="8">
        <f t="shared" si="5"/>
        <v>-11.353832398925977</v>
      </c>
      <c r="M103" s="2"/>
      <c r="N103" s="2"/>
    </row>
    <row r="104" spans="1:14" x14ac:dyDescent="0.2">
      <c r="A104" t="s">
        <v>99</v>
      </c>
      <c r="B104">
        <v>16</v>
      </c>
      <c r="C104" t="s">
        <v>114</v>
      </c>
      <c r="D104">
        <v>178192</v>
      </c>
      <c r="E104">
        <v>136546</v>
      </c>
      <c r="F104">
        <v>220861</v>
      </c>
      <c r="G104">
        <v>184380</v>
      </c>
      <c r="H104">
        <v>243281</v>
      </c>
      <c r="I104">
        <v>177608</v>
      </c>
      <c r="J104" s="7">
        <f t="shared" si="3"/>
        <v>-13.23195800951903</v>
      </c>
      <c r="K104" s="7">
        <f t="shared" si="4"/>
        <v>-9.002297398338273</v>
      </c>
      <c r="L104" s="8">
        <f t="shared" si="5"/>
        <v>-15.603401371858139</v>
      </c>
      <c r="M104" s="2"/>
      <c r="N104" s="2"/>
    </row>
    <row r="105" spans="1:14" x14ac:dyDescent="0.2">
      <c r="A105" t="s">
        <v>99</v>
      </c>
      <c r="B105">
        <v>17</v>
      </c>
      <c r="C105" t="s">
        <v>115</v>
      </c>
      <c r="D105">
        <v>214682</v>
      </c>
      <c r="E105">
        <v>151804</v>
      </c>
      <c r="F105">
        <v>259029</v>
      </c>
      <c r="G105">
        <v>187487</v>
      </c>
      <c r="H105">
        <v>287639</v>
      </c>
      <c r="I105">
        <v>175910</v>
      </c>
      <c r="J105" s="7">
        <f t="shared" si="3"/>
        <v>-17.156999175957608</v>
      </c>
      <c r="K105" s="7">
        <f t="shared" si="4"/>
        <v>-16.022270198604303</v>
      </c>
      <c r="L105" s="8">
        <f t="shared" si="5"/>
        <v>-24.102953517319637</v>
      </c>
      <c r="M105" s="2"/>
      <c r="N105" s="2"/>
    </row>
    <row r="106" spans="1:14" x14ac:dyDescent="0.2">
      <c r="A106" t="s">
        <v>99</v>
      </c>
      <c r="B106">
        <v>18</v>
      </c>
      <c r="C106" t="s">
        <v>116</v>
      </c>
      <c r="D106">
        <v>175253</v>
      </c>
      <c r="E106">
        <v>111591</v>
      </c>
      <c r="F106">
        <v>213274</v>
      </c>
      <c r="G106">
        <v>133491</v>
      </c>
      <c r="H106">
        <v>228976</v>
      </c>
      <c r="I106">
        <v>124283</v>
      </c>
      <c r="J106" s="7">
        <f t="shared" si="3"/>
        <v>-22.193945140912831</v>
      </c>
      <c r="K106" s="7">
        <f t="shared" si="4"/>
        <v>-23.007800671924791</v>
      </c>
      <c r="L106" s="8">
        <f t="shared" si="5"/>
        <v>-29.636329152265052</v>
      </c>
      <c r="M106" s="2"/>
      <c r="N106" s="2"/>
    </row>
    <row r="107" spans="1:14" x14ac:dyDescent="0.2">
      <c r="A107" t="s">
        <v>99</v>
      </c>
      <c r="B107">
        <v>19</v>
      </c>
      <c r="C107" t="s">
        <v>117</v>
      </c>
      <c r="D107">
        <v>218307</v>
      </c>
      <c r="E107">
        <v>133961</v>
      </c>
      <c r="F107">
        <v>260795</v>
      </c>
      <c r="G107">
        <v>169490</v>
      </c>
      <c r="H107">
        <v>275143</v>
      </c>
      <c r="I107">
        <v>150143</v>
      </c>
      <c r="J107" s="7">
        <f t="shared" si="3"/>
        <v>-23.943701954193966</v>
      </c>
      <c r="K107" s="7">
        <f t="shared" si="4"/>
        <v>-21.219656739138014</v>
      </c>
      <c r="L107" s="8">
        <f t="shared" si="5"/>
        <v>-29.391985628494705</v>
      </c>
      <c r="M107" s="2"/>
      <c r="N107" s="2"/>
    </row>
    <row r="108" spans="1:14" x14ac:dyDescent="0.2">
      <c r="A108" t="s">
        <v>99</v>
      </c>
      <c r="B108">
        <v>20</v>
      </c>
      <c r="C108" t="s">
        <v>118</v>
      </c>
      <c r="D108">
        <v>60419</v>
      </c>
      <c r="E108">
        <v>229009</v>
      </c>
      <c r="F108">
        <v>78809</v>
      </c>
      <c r="G108">
        <v>252726</v>
      </c>
      <c r="H108">
        <v>89175</v>
      </c>
      <c r="I108">
        <v>207879</v>
      </c>
      <c r="J108" s="7">
        <f t="shared" si="3"/>
        <v>58.249374628577741</v>
      </c>
      <c r="K108" s="7">
        <f t="shared" si="4"/>
        <v>52.458111511605111</v>
      </c>
      <c r="L108" s="8">
        <f t="shared" si="5"/>
        <v>39.960411238360706</v>
      </c>
      <c r="M108" s="2"/>
      <c r="N108" s="2"/>
    </row>
    <row r="109" spans="1:14" x14ac:dyDescent="0.2">
      <c r="A109" t="s">
        <v>99</v>
      </c>
      <c r="B109">
        <v>21</v>
      </c>
      <c r="C109" t="s">
        <v>119</v>
      </c>
      <c r="D109">
        <v>200599</v>
      </c>
      <c r="E109">
        <v>162073</v>
      </c>
      <c r="F109">
        <v>240728</v>
      </c>
      <c r="G109">
        <v>199043</v>
      </c>
      <c r="H109">
        <v>263988</v>
      </c>
      <c r="I109">
        <v>188494</v>
      </c>
      <c r="J109" s="7">
        <f t="shared" si="3"/>
        <v>-10.622821723209954</v>
      </c>
      <c r="K109" s="7">
        <f t="shared" si="4"/>
        <v>-9.4787969193057293</v>
      </c>
      <c r="L109" s="8">
        <f t="shared" si="5"/>
        <v>-16.684420595736405</v>
      </c>
      <c r="M109" s="2"/>
      <c r="N109" s="2"/>
    </row>
    <row r="110" spans="1:14" x14ac:dyDescent="0.2">
      <c r="A110" t="s">
        <v>99</v>
      </c>
      <c r="B110">
        <v>22</v>
      </c>
      <c r="C110" t="s">
        <v>120</v>
      </c>
      <c r="D110">
        <v>129711</v>
      </c>
      <c r="E110">
        <v>197754</v>
      </c>
      <c r="F110">
        <v>160448</v>
      </c>
      <c r="G110">
        <v>229781</v>
      </c>
      <c r="H110">
        <v>176060</v>
      </c>
      <c r="I110">
        <v>196989</v>
      </c>
      <c r="J110" s="7">
        <f t="shared" si="3"/>
        <v>20.778709175026339</v>
      </c>
      <c r="K110" s="7">
        <f t="shared" si="4"/>
        <v>17.767259737231218</v>
      </c>
      <c r="L110" s="8">
        <f t="shared" si="5"/>
        <v>5.6102549531026753</v>
      </c>
      <c r="M110" s="2"/>
      <c r="N110" s="2"/>
    </row>
    <row r="111" spans="1:14" x14ac:dyDescent="0.2">
      <c r="A111" t="s">
        <v>99</v>
      </c>
      <c r="B111">
        <v>23</v>
      </c>
      <c r="C111" t="s">
        <v>121</v>
      </c>
      <c r="D111">
        <v>148165</v>
      </c>
      <c r="E111">
        <v>199151</v>
      </c>
      <c r="F111">
        <v>177683</v>
      </c>
      <c r="G111">
        <v>232249</v>
      </c>
      <c r="H111">
        <v>188273</v>
      </c>
      <c r="I111">
        <v>195655</v>
      </c>
      <c r="J111" s="7">
        <f t="shared" si="3"/>
        <v>14.680003224729067</v>
      </c>
      <c r="K111" s="7">
        <f t="shared" si="4"/>
        <v>13.310988163890597</v>
      </c>
      <c r="L111" s="8">
        <f t="shared" si="5"/>
        <v>1.9227563501489864</v>
      </c>
      <c r="M111" s="2"/>
      <c r="N111" s="2"/>
    </row>
    <row r="112" spans="1:14" x14ac:dyDescent="0.2">
      <c r="A112" t="s">
        <v>99</v>
      </c>
      <c r="B112">
        <v>24</v>
      </c>
      <c r="C112" t="s">
        <v>122</v>
      </c>
      <c r="D112">
        <v>50350</v>
      </c>
      <c r="E112">
        <v>236974</v>
      </c>
      <c r="F112">
        <v>83294</v>
      </c>
      <c r="G112">
        <v>245426</v>
      </c>
      <c r="H112">
        <v>102000</v>
      </c>
      <c r="I112">
        <v>190492</v>
      </c>
      <c r="J112" s="7">
        <f t="shared" si="3"/>
        <v>64.952457852459247</v>
      </c>
      <c r="K112" s="7">
        <f t="shared" si="4"/>
        <v>49.322219518130936</v>
      </c>
      <c r="L112" s="8">
        <f t="shared" si="5"/>
        <v>30.25450268725298</v>
      </c>
      <c r="M112" s="2"/>
      <c r="N112" s="2"/>
    </row>
    <row r="113" spans="1:14" x14ac:dyDescent="0.2">
      <c r="A113" t="s">
        <v>99</v>
      </c>
      <c r="B113">
        <v>25</v>
      </c>
      <c r="C113" t="s">
        <v>123</v>
      </c>
      <c r="D113">
        <v>114401</v>
      </c>
      <c r="E113">
        <v>209374</v>
      </c>
      <c r="F113">
        <v>152799</v>
      </c>
      <c r="G113">
        <v>229492</v>
      </c>
      <c r="H113">
        <v>165194</v>
      </c>
      <c r="I113">
        <v>183992</v>
      </c>
      <c r="J113" s="7">
        <f t="shared" si="3"/>
        <v>29.333024476874375</v>
      </c>
      <c r="K113" s="7">
        <f t="shared" si="4"/>
        <v>20.061419180676502</v>
      </c>
      <c r="L113" s="8">
        <f t="shared" si="5"/>
        <v>5.3833773404432028</v>
      </c>
      <c r="M113" s="2"/>
      <c r="N113" s="2"/>
    </row>
    <row r="114" spans="1:14" x14ac:dyDescent="0.2">
      <c r="A114" t="s">
        <v>99</v>
      </c>
      <c r="B114">
        <v>26</v>
      </c>
      <c r="C114" t="s">
        <v>124</v>
      </c>
      <c r="D114">
        <v>120173</v>
      </c>
      <c r="E114">
        <v>129240</v>
      </c>
      <c r="F114">
        <v>184119</v>
      </c>
      <c r="G114">
        <v>126605</v>
      </c>
      <c r="H114">
        <v>211496</v>
      </c>
      <c r="I114">
        <v>100410</v>
      </c>
      <c r="J114" s="7">
        <f t="shared" si="3"/>
        <v>3.6353357683841661</v>
      </c>
      <c r="K114" s="7">
        <f t="shared" si="4"/>
        <v>-18.509674180301488</v>
      </c>
      <c r="L114" s="8">
        <f t="shared" si="5"/>
        <v>-35.615217405243889</v>
      </c>
      <c r="M114" s="2"/>
      <c r="N114" s="2"/>
    </row>
    <row r="115" spans="1:14" x14ac:dyDescent="0.2">
      <c r="A115" t="s">
        <v>99</v>
      </c>
      <c r="B115">
        <v>27</v>
      </c>
      <c r="C115" t="s">
        <v>125</v>
      </c>
      <c r="D115">
        <v>122443</v>
      </c>
      <c r="E115">
        <v>176134</v>
      </c>
      <c r="F115">
        <v>179470</v>
      </c>
      <c r="G115">
        <v>178474</v>
      </c>
      <c r="H115">
        <v>192300</v>
      </c>
      <c r="I115">
        <v>142010</v>
      </c>
      <c r="J115" s="7">
        <f t="shared" si="3"/>
        <v>17.982296024141174</v>
      </c>
      <c r="K115" s="7">
        <f t="shared" si="4"/>
        <v>-0.27825581655230985</v>
      </c>
      <c r="L115" s="8">
        <f t="shared" si="5"/>
        <v>-15.042924232000241</v>
      </c>
      <c r="M115" s="2"/>
      <c r="N115" s="2"/>
    </row>
    <row r="116" spans="1:14" x14ac:dyDescent="0.2">
      <c r="A116" t="s">
        <v>99</v>
      </c>
      <c r="B116">
        <v>28</v>
      </c>
      <c r="C116" t="s">
        <v>126</v>
      </c>
      <c r="D116">
        <v>114821</v>
      </c>
      <c r="E116">
        <v>159180</v>
      </c>
      <c r="F116">
        <v>181072</v>
      </c>
      <c r="G116">
        <v>159211</v>
      </c>
      <c r="H116">
        <v>208836</v>
      </c>
      <c r="I116">
        <v>123604</v>
      </c>
      <c r="J116" s="7">
        <f t="shared" si="3"/>
        <v>16.189356973149732</v>
      </c>
      <c r="K116" s="7">
        <f t="shared" si="4"/>
        <v>-6.4243585486198258</v>
      </c>
      <c r="L116" s="8">
        <f t="shared" si="5"/>
        <v>-25.638310672602575</v>
      </c>
      <c r="M116" s="2"/>
      <c r="N116" s="2"/>
    </row>
    <row r="117" spans="1:14" x14ac:dyDescent="0.2">
      <c r="A117" t="s">
        <v>128</v>
      </c>
      <c r="B117">
        <v>1</v>
      </c>
      <c r="C117" t="s">
        <v>127</v>
      </c>
      <c r="D117">
        <v>155787</v>
      </c>
      <c r="E117">
        <v>110385</v>
      </c>
      <c r="F117">
        <v>190430</v>
      </c>
      <c r="G117">
        <v>144229</v>
      </c>
      <c r="H117">
        <v>209761</v>
      </c>
      <c r="I117">
        <v>152200</v>
      </c>
      <c r="J117" s="7">
        <f t="shared" si="3"/>
        <v>-17.057391461160453</v>
      </c>
      <c r="K117" s="7">
        <f t="shared" si="4"/>
        <v>-13.805395940345248</v>
      </c>
      <c r="L117" s="8">
        <f t="shared" si="5"/>
        <v>-15.902541986567615</v>
      </c>
      <c r="M117" s="2"/>
      <c r="N117" s="2"/>
    </row>
    <row r="118" spans="1:14" x14ac:dyDescent="0.2">
      <c r="A118" t="s">
        <v>128</v>
      </c>
      <c r="B118">
        <v>2</v>
      </c>
      <c r="C118" t="s">
        <v>129</v>
      </c>
      <c r="D118">
        <v>124837</v>
      </c>
      <c r="E118">
        <v>150421</v>
      </c>
      <c r="F118">
        <v>140750</v>
      </c>
      <c r="G118">
        <v>173744</v>
      </c>
      <c r="H118">
        <v>145604</v>
      </c>
      <c r="I118">
        <v>169832</v>
      </c>
      <c r="J118" s="7">
        <f t="shared" si="3"/>
        <v>9.2945527468774749</v>
      </c>
      <c r="K118" s="7">
        <f t="shared" si="4"/>
        <v>10.491138145719791</v>
      </c>
      <c r="L118" s="8">
        <f t="shared" si="5"/>
        <v>7.6807973725256469</v>
      </c>
      <c r="M118" s="2"/>
      <c r="N118" s="2"/>
    </row>
    <row r="119" spans="1:14" x14ac:dyDescent="0.2">
      <c r="A119" t="s">
        <v>128</v>
      </c>
      <c r="B119">
        <v>3</v>
      </c>
      <c r="C119" t="s">
        <v>130</v>
      </c>
      <c r="D119">
        <v>210432</v>
      </c>
      <c r="E119">
        <v>97173</v>
      </c>
      <c r="F119">
        <v>248107</v>
      </c>
      <c r="G119">
        <v>132266</v>
      </c>
      <c r="H119">
        <v>270130</v>
      </c>
      <c r="I119">
        <v>146037</v>
      </c>
      <c r="J119" s="7">
        <f t="shared" si="3"/>
        <v>-36.819622567903643</v>
      </c>
      <c r="K119" s="7">
        <f t="shared" si="4"/>
        <v>-30.45458010952407</v>
      </c>
      <c r="L119" s="8">
        <f t="shared" si="5"/>
        <v>-29.818077838944461</v>
      </c>
      <c r="M119" s="2"/>
      <c r="N119" s="2"/>
    </row>
    <row r="120" spans="1:14" x14ac:dyDescent="0.2">
      <c r="A120" t="s">
        <v>128</v>
      </c>
      <c r="B120">
        <v>4</v>
      </c>
      <c r="C120" t="s">
        <v>131</v>
      </c>
      <c r="D120">
        <v>55425</v>
      </c>
      <c r="E120">
        <v>201425</v>
      </c>
      <c r="F120">
        <v>65453</v>
      </c>
      <c r="G120">
        <v>248568</v>
      </c>
      <c r="H120">
        <v>72044</v>
      </c>
      <c r="I120">
        <v>234437</v>
      </c>
      <c r="J120" s="7">
        <f t="shared" si="3"/>
        <v>56.842515086626435</v>
      </c>
      <c r="K120" s="7">
        <f t="shared" si="4"/>
        <v>58.312979068278871</v>
      </c>
      <c r="L120" s="8">
        <f t="shared" si="5"/>
        <v>52.986318890893727</v>
      </c>
      <c r="M120" s="2"/>
      <c r="N120" s="2"/>
    </row>
    <row r="121" spans="1:14" x14ac:dyDescent="0.2">
      <c r="A121" t="s">
        <v>128</v>
      </c>
      <c r="B121">
        <v>5</v>
      </c>
      <c r="C121" t="s">
        <v>132</v>
      </c>
      <c r="D121">
        <v>36738</v>
      </c>
      <c r="E121">
        <v>245370</v>
      </c>
      <c r="F121">
        <v>45061</v>
      </c>
      <c r="G121">
        <v>298051</v>
      </c>
      <c r="H121">
        <v>47969</v>
      </c>
      <c r="I121">
        <v>299895</v>
      </c>
      <c r="J121" s="7">
        <f t="shared" si="3"/>
        <v>73.954655663788344</v>
      </c>
      <c r="K121" s="7">
        <f t="shared" si="4"/>
        <v>73.733941103779514</v>
      </c>
      <c r="L121" s="8">
        <f t="shared" si="5"/>
        <v>72.420831129406892</v>
      </c>
      <c r="M121" s="2"/>
      <c r="N121" s="2"/>
    </row>
    <row r="122" spans="1:14" x14ac:dyDescent="0.2">
      <c r="A122" t="s">
        <v>128</v>
      </c>
      <c r="B122">
        <v>6</v>
      </c>
      <c r="C122" t="s">
        <v>133</v>
      </c>
      <c r="D122">
        <v>81411</v>
      </c>
      <c r="E122">
        <v>208500</v>
      </c>
      <c r="F122">
        <v>90634</v>
      </c>
      <c r="G122">
        <v>272391</v>
      </c>
      <c r="H122">
        <v>92570</v>
      </c>
      <c r="I122">
        <v>280053</v>
      </c>
      <c r="J122" s="7">
        <f t="shared" si="3"/>
        <v>43.8372466032679</v>
      </c>
      <c r="K122" s="7">
        <f t="shared" si="4"/>
        <v>50.067350733420568</v>
      </c>
      <c r="L122" s="8">
        <f t="shared" si="5"/>
        <v>50.314392831360387</v>
      </c>
      <c r="M122" s="2"/>
      <c r="N122" s="2"/>
    </row>
    <row r="123" spans="1:14" x14ac:dyDescent="0.2">
      <c r="A123" t="s">
        <v>128</v>
      </c>
      <c r="B123">
        <v>7</v>
      </c>
      <c r="C123" t="s">
        <v>134</v>
      </c>
      <c r="D123">
        <v>199615</v>
      </c>
      <c r="E123">
        <v>103933</v>
      </c>
      <c r="F123">
        <v>239930</v>
      </c>
      <c r="G123">
        <v>161771</v>
      </c>
      <c r="H123">
        <v>261239</v>
      </c>
      <c r="I123">
        <v>166122</v>
      </c>
      <c r="J123" s="7">
        <f t="shared" si="3"/>
        <v>-31.521209166260363</v>
      </c>
      <c r="K123" s="7">
        <f t="shared" si="4"/>
        <v>-19.457009068934354</v>
      </c>
      <c r="L123" s="8">
        <f t="shared" si="5"/>
        <v>-22.256827366090963</v>
      </c>
      <c r="M123" s="2"/>
      <c r="N123" s="2"/>
    </row>
    <row r="124" spans="1:14" x14ac:dyDescent="0.2">
      <c r="A124" t="s">
        <v>128</v>
      </c>
      <c r="B124">
        <v>8</v>
      </c>
      <c r="C124" t="s">
        <v>135</v>
      </c>
      <c r="D124">
        <v>179620</v>
      </c>
      <c r="E124">
        <v>93873</v>
      </c>
      <c r="F124">
        <v>209018</v>
      </c>
      <c r="G124">
        <v>117588</v>
      </c>
      <c r="H124">
        <v>225082</v>
      </c>
      <c r="I124">
        <v>119100</v>
      </c>
      <c r="J124" s="7">
        <f t="shared" si="3"/>
        <v>-31.352539187474633</v>
      </c>
      <c r="K124" s="7">
        <f t="shared" si="4"/>
        <v>-27.993974391162439</v>
      </c>
      <c r="L124" s="8">
        <f t="shared" si="5"/>
        <v>-30.792429586672164</v>
      </c>
      <c r="M124" s="2"/>
      <c r="N124" s="2"/>
    </row>
    <row r="125" spans="1:14" x14ac:dyDescent="0.2">
      <c r="A125" t="s">
        <v>128</v>
      </c>
      <c r="B125">
        <v>9</v>
      </c>
      <c r="C125" t="s">
        <v>136</v>
      </c>
      <c r="D125">
        <v>194811</v>
      </c>
      <c r="E125">
        <v>79172</v>
      </c>
      <c r="F125">
        <v>239352</v>
      </c>
      <c r="G125">
        <v>121332</v>
      </c>
      <c r="H125">
        <v>267768</v>
      </c>
      <c r="I125">
        <v>130854</v>
      </c>
      <c r="J125" s="7">
        <f t="shared" si="3"/>
        <v>-42.20663325826785</v>
      </c>
      <c r="K125" s="7">
        <f t="shared" si="4"/>
        <v>-32.721163123398881</v>
      </c>
      <c r="L125" s="8">
        <f t="shared" si="5"/>
        <v>-34.346824811475535</v>
      </c>
      <c r="M125" s="2"/>
      <c r="N125" s="2"/>
    </row>
    <row r="126" spans="1:14" x14ac:dyDescent="0.2">
      <c r="A126" t="s">
        <v>128</v>
      </c>
      <c r="B126">
        <v>10</v>
      </c>
      <c r="C126" t="s">
        <v>137</v>
      </c>
      <c r="D126">
        <v>186976</v>
      </c>
      <c r="E126">
        <v>105442</v>
      </c>
      <c r="F126">
        <v>225628</v>
      </c>
      <c r="G126">
        <v>146073</v>
      </c>
      <c r="H126">
        <v>248555</v>
      </c>
      <c r="I126">
        <v>162825</v>
      </c>
      <c r="J126" s="7">
        <f t="shared" si="3"/>
        <v>-27.882688480189316</v>
      </c>
      <c r="K126" s="7">
        <f t="shared" si="4"/>
        <v>-21.40295560141081</v>
      </c>
      <c r="L126" s="8">
        <f t="shared" si="5"/>
        <v>-20.839613009869222</v>
      </c>
      <c r="M126" s="2"/>
      <c r="N126" s="2"/>
    </row>
    <row r="127" spans="1:14" x14ac:dyDescent="0.2">
      <c r="A127" t="s">
        <v>128</v>
      </c>
      <c r="B127">
        <v>11</v>
      </c>
      <c r="C127" t="s">
        <v>138</v>
      </c>
      <c r="D127">
        <v>200645</v>
      </c>
      <c r="E127">
        <v>101526</v>
      </c>
      <c r="F127">
        <v>234732</v>
      </c>
      <c r="G127">
        <v>149152</v>
      </c>
      <c r="H127">
        <v>257547</v>
      </c>
      <c r="I127">
        <v>159565</v>
      </c>
      <c r="J127" s="7">
        <f t="shared" si="3"/>
        <v>-32.802287446512075</v>
      </c>
      <c r="K127" s="7">
        <f t="shared" si="4"/>
        <v>-22.293192735305457</v>
      </c>
      <c r="L127" s="8">
        <f t="shared" si="5"/>
        <v>-23.490573275283378</v>
      </c>
      <c r="M127" s="2"/>
      <c r="N127" s="2"/>
    </row>
    <row r="128" spans="1:14" x14ac:dyDescent="0.2">
      <c r="A128" t="s">
        <v>128</v>
      </c>
      <c r="B128">
        <v>12</v>
      </c>
      <c r="C128" t="s">
        <v>139</v>
      </c>
      <c r="D128">
        <v>159321</v>
      </c>
      <c r="E128">
        <v>121294</v>
      </c>
      <c r="F128">
        <v>185658</v>
      </c>
      <c r="G128">
        <v>150920</v>
      </c>
      <c r="H128">
        <v>198235</v>
      </c>
      <c r="I128">
        <v>148846</v>
      </c>
      <c r="J128" s="7">
        <f t="shared" si="3"/>
        <v>-13.551306950804484</v>
      </c>
      <c r="K128" s="7">
        <f t="shared" si="4"/>
        <v>-10.32093600888947</v>
      </c>
      <c r="L128" s="8">
        <f t="shared" si="5"/>
        <v>-14.229819552208275</v>
      </c>
      <c r="M128" s="2"/>
      <c r="N128" s="2"/>
    </row>
    <row r="129" spans="1:14" x14ac:dyDescent="0.2">
      <c r="A129" t="s">
        <v>128</v>
      </c>
      <c r="B129">
        <v>13</v>
      </c>
      <c r="C129" t="s">
        <v>140</v>
      </c>
      <c r="D129">
        <v>98873</v>
      </c>
      <c r="E129">
        <v>183520</v>
      </c>
      <c r="F129">
        <v>104439</v>
      </c>
      <c r="G129">
        <v>248423</v>
      </c>
      <c r="H129">
        <v>103887</v>
      </c>
      <c r="I129">
        <v>257427</v>
      </c>
      <c r="J129" s="7">
        <f t="shared" si="3"/>
        <v>29.974893145368338</v>
      </c>
      <c r="K129" s="7">
        <f t="shared" si="4"/>
        <v>40.804620503199551</v>
      </c>
      <c r="L129" s="8">
        <f t="shared" si="5"/>
        <v>42.494893638220496</v>
      </c>
      <c r="M129" s="2"/>
      <c r="N129" s="2"/>
    </row>
    <row r="130" spans="1:14" x14ac:dyDescent="0.2">
      <c r="A130" t="s">
        <v>128</v>
      </c>
      <c r="B130">
        <v>14</v>
      </c>
      <c r="C130" t="s">
        <v>141</v>
      </c>
      <c r="D130">
        <v>203478</v>
      </c>
      <c r="E130">
        <v>74471</v>
      </c>
      <c r="F130">
        <v>242230</v>
      </c>
      <c r="G130">
        <v>108745</v>
      </c>
      <c r="H130">
        <v>262682</v>
      </c>
      <c r="I130">
        <v>120582</v>
      </c>
      <c r="J130" s="7">
        <f t="shared" si="3"/>
        <v>-46.413910465589012</v>
      </c>
      <c r="K130" s="7">
        <f t="shared" si="4"/>
        <v>-38.032623406225511</v>
      </c>
      <c r="L130" s="8">
        <f t="shared" si="5"/>
        <v>-37.076271186440678</v>
      </c>
      <c r="M130" s="2"/>
      <c r="N130" s="2"/>
    </row>
    <row r="131" spans="1:14" x14ac:dyDescent="0.2">
      <c r="A131" t="s">
        <v>143</v>
      </c>
      <c r="B131">
        <v>1</v>
      </c>
      <c r="C131" t="s">
        <v>142</v>
      </c>
      <c r="D131">
        <v>63525</v>
      </c>
      <c r="E131">
        <v>131581</v>
      </c>
      <c r="F131">
        <v>96339</v>
      </c>
      <c r="G131">
        <v>178654</v>
      </c>
      <c r="H131">
        <v>91500</v>
      </c>
      <c r="I131">
        <v>153037</v>
      </c>
      <c r="J131" s="7">
        <f t="shared" si="3"/>
        <v>34.881551566840592</v>
      </c>
      <c r="K131" s="7">
        <f t="shared" si="4"/>
        <v>29.933489216089136</v>
      </c>
      <c r="L131" s="8">
        <f t="shared" si="5"/>
        <v>25.164699002604923</v>
      </c>
      <c r="M131" s="2"/>
      <c r="N131" s="2"/>
    </row>
    <row r="132" spans="1:14" x14ac:dyDescent="0.2">
      <c r="A132" t="s">
        <v>143</v>
      </c>
      <c r="B132">
        <v>2</v>
      </c>
      <c r="C132" t="s">
        <v>144</v>
      </c>
      <c r="D132">
        <v>65319</v>
      </c>
      <c r="E132">
        <v>135310</v>
      </c>
      <c r="F132">
        <v>100522</v>
      </c>
      <c r="G132">
        <v>187474</v>
      </c>
      <c r="H132">
        <v>102161</v>
      </c>
      <c r="I132">
        <v>160007</v>
      </c>
      <c r="J132" s="7">
        <f t="shared" si="3"/>
        <v>34.88578420866375</v>
      </c>
      <c r="K132" s="7">
        <f t="shared" si="4"/>
        <v>30.192086001194461</v>
      </c>
      <c r="L132" s="8">
        <f t="shared" si="5"/>
        <v>22.06447773946477</v>
      </c>
      <c r="M132" s="2"/>
      <c r="N132" s="2"/>
    </row>
    <row r="133" spans="1:14" x14ac:dyDescent="0.2">
      <c r="A133" t="s">
        <v>146</v>
      </c>
      <c r="B133">
        <v>1</v>
      </c>
      <c r="C133" t="s">
        <v>145</v>
      </c>
      <c r="D133">
        <v>189883</v>
      </c>
      <c r="E133">
        <v>177845</v>
      </c>
      <c r="F133">
        <v>215735</v>
      </c>
      <c r="G133">
        <v>203399</v>
      </c>
      <c r="H133">
        <v>226309</v>
      </c>
      <c r="I133">
        <v>190502</v>
      </c>
      <c r="J133" s="7">
        <f t="shared" si="3"/>
        <v>-3.2736152808597661</v>
      </c>
      <c r="K133" s="7">
        <f t="shared" si="4"/>
        <v>-2.9432114789065071</v>
      </c>
      <c r="L133" s="8">
        <f t="shared" si="5"/>
        <v>-8.5907041800720236</v>
      </c>
      <c r="M133" s="2"/>
      <c r="N133" s="2"/>
    </row>
    <row r="134" spans="1:14" x14ac:dyDescent="0.2">
      <c r="A134" t="s">
        <v>146</v>
      </c>
      <c r="B134">
        <v>2</v>
      </c>
      <c r="C134" t="s">
        <v>147</v>
      </c>
      <c r="D134">
        <v>198948</v>
      </c>
      <c r="E134">
        <v>180278</v>
      </c>
      <c r="F134">
        <v>222299</v>
      </c>
      <c r="G134">
        <v>203243</v>
      </c>
      <c r="H134">
        <v>227941</v>
      </c>
      <c r="I134">
        <v>186017</v>
      </c>
      <c r="J134" s="7">
        <f t="shared" si="3"/>
        <v>-4.9231856465537707</v>
      </c>
      <c r="K134" s="7">
        <f t="shared" si="4"/>
        <v>-4.4780538701232784</v>
      </c>
      <c r="L134" s="8">
        <f t="shared" si="5"/>
        <v>-10.127597485735269</v>
      </c>
      <c r="M134" s="2"/>
      <c r="N134" s="2"/>
    </row>
    <row r="135" spans="1:14" x14ac:dyDescent="0.2">
      <c r="A135" t="s">
        <v>146</v>
      </c>
      <c r="B135">
        <v>3</v>
      </c>
      <c r="C135" t="s">
        <v>148</v>
      </c>
      <c r="D135">
        <v>177100</v>
      </c>
      <c r="E135">
        <v>165870</v>
      </c>
      <c r="F135">
        <v>207034</v>
      </c>
      <c r="G135">
        <v>205590</v>
      </c>
      <c r="H135">
        <v>217645</v>
      </c>
      <c r="I135">
        <v>199043</v>
      </c>
      <c r="J135" s="7">
        <f t="shared" si="3"/>
        <v>-3.2743388634574453</v>
      </c>
      <c r="K135" s="7">
        <f t="shared" si="4"/>
        <v>-0.34995540734421654</v>
      </c>
      <c r="L135" s="8">
        <f t="shared" si="5"/>
        <v>-4.464251430326768</v>
      </c>
      <c r="M135" s="2"/>
      <c r="N135" s="2"/>
    </row>
    <row r="136" spans="1:14" x14ac:dyDescent="0.2">
      <c r="A136" t="s">
        <v>146</v>
      </c>
      <c r="B136">
        <v>4</v>
      </c>
      <c r="C136" t="s">
        <v>149</v>
      </c>
      <c r="D136">
        <v>235028</v>
      </c>
      <c r="E136">
        <v>129652</v>
      </c>
      <c r="F136">
        <v>252566</v>
      </c>
      <c r="G136">
        <v>146812</v>
      </c>
      <c r="H136">
        <v>255124</v>
      </c>
      <c r="I136">
        <v>131716</v>
      </c>
      <c r="J136" s="7">
        <f t="shared" si="3"/>
        <v>-28.89547000109685</v>
      </c>
      <c r="K136" s="7">
        <f t="shared" si="4"/>
        <v>-26.479675896018307</v>
      </c>
      <c r="L136" s="8">
        <f t="shared" si="5"/>
        <v>-31.901561369041463</v>
      </c>
      <c r="M136" s="2"/>
      <c r="N136" s="2"/>
    </row>
    <row r="137" spans="1:14" x14ac:dyDescent="0.2">
      <c r="A137" t="s">
        <v>151</v>
      </c>
      <c r="B137">
        <v>1</v>
      </c>
      <c r="C137" t="s">
        <v>150</v>
      </c>
      <c r="D137">
        <v>220895</v>
      </c>
      <c r="E137">
        <v>86240</v>
      </c>
      <c r="F137">
        <v>302839</v>
      </c>
      <c r="G137">
        <v>132153</v>
      </c>
      <c r="H137">
        <v>343893</v>
      </c>
      <c r="I137">
        <v>126556</v>
      </c>
      <c r="J137" s="7">
        <f t="shared" si="3"/>
        <v>-43.842284337506307</v>
      </c>
      <c r="K137" s="7">
        <f t="shared" si="4"/>
        <v>-39.238882554161911</v>
      </c>
      <c r="L137" s="8">
        <f t="shared" si="5"/>
        <v>-46.197781268532829</v>
      </c>
      <c r="M137" s="2"/>
      <c r="N137" s="2"/>
    </row>
    <row r="138" spans="1:14" x14ac:dyDescent="0.2">
      <c r="A138" t="s">
        <v>151</v>
      </c>
      <c r="B138">
        <v>2</v>
      </c>
      <c r="C138" t="s">
        <v>152</v>
      </c>
      <c r="D138">
        <v>188155</v>
      </c>
      <c r="E138">
        <v>103507</v>
      </c>
      <c r="F138">
        <v>251276</v>
      </c>
      <c r="G138">
        <v>154853</v>
      </c>
      <c r="H138">
        <v>261353</v>
      </c>
      <c r="I138">
        <v>148416</v>
      </c>
      <c r="J138" s="7">
        <f t="shared" si="3"/>
        <v>-29.022635790744079</v>
      </c>
      <c r="K138" s="7">
        <f t="shared" si="4"/>
        <v>-23.741963760283063</v>
      </c>
      <c r="L138" s="8">
        <f t="shared" si="5"/>
        <v>-27.561138104639443</v>
      </c>
      <c r="M138" s="2"/>
      <c r="N138" s="2"/>
    </row>
    <row r="139" spans="1:14" x14ac:dyDescent="0.2">
      <c r="A139" t="s">
        <v>154</v>
      </c>
      <c r="B139">
        <v>1</v>
      </c>
      <c r="C139" t="s">
        <v>153</v>
      </c>
      <c r="D139">
        <v>85674</v>
      </c>
      <c r="E139">
        <v>258279</v>
      </c>
      <c r="F139">
        <v>103837</v>
      </c>
      <c r="G139">
        <v>260260</v>
      </c>
      <c r="H139">
        <v>109242</v>
      </c>
      <c r="I139">
        <v>214073</v>
      </c>
      <c r="J139" s="7">
        <f t="shared" si="3"/>
        <v>50.182728454178338</v>
      </c>
      <c r="K139" s="7">
        <f t="shared" si="4"/>
        <v>42.961903009362892</v>
      </c>
      <c r="L139" s="8">
        <f t="shared" si="5"/>
        <v>32.423797225615886</v>
      </c>
      <c r="M139" s="2"/>
      <c r="N139" s="2"/>
    </row>
    <row r="140" spans="1:14" x14ac:dyDescent="0.2">
      <c r="A140" t="s">
        <v>154</v>
      </c>
      <c r="B140">
        <v>2</v>
      </c>
      <c r="C140" t="s">
        <v>155</v>
      </c>
      <c r="D140">
        <v>88412</v>
      </c>
      <c r="E140">
        <v>228223</v>
      </c>
      <c r="F140">
        <v>98031</v>
      </c>
      <c r="G140">
        <v>232029</v>
      </c>
      <c r="H140">
        <v>97528</v>
      </c>
      <c r="I140">
        <v>196214</v>
      </c>
      <c r="J140" s="7">
        <f t="shared" si="3"/>
        <v>44.155257631026259</v>
      </c>
      <c r="K140" s="7">
        <f t="shared" si="4"/>
        <v>40.598073077622246</v>
      </c>
      <c r="L140" s="8">
        <f t="shared" si="5"/>
        <v>33.59614900150472</v>
      </c>
      <c r="M140" s="2"/>
      <c r="N140" s="2"/>
    </row>
    <row r="141" spans="1:14" x14ac:dyDescent="0.2">
      <c r="A141" t="s">
        <v>154</v>
      </c>
      <c r="B141">
        <v>3</v>
      </c>
      <c r="C141" t="s">
        <v>156</v>
      </c>
      <c r="D141">
        <v>66063</v>
      </c>
      <c r="E141">
        <v>184904</v>
      </c>
      <c r="F141">
        <v>84495</v>
      </c>
      <c r="G141">
        <v>208181</v>
      </c>
      <c r="H141">
        <v>89231</v>
      </c>
      <c r="I141">
        <v>172244</v>
      </c>
      <c r="J141" s="7">
        <f t="shared" si="3"/>
        <v>47.353237676666652</v>
      </c>
      <c r="K141" s="7">
        <f t="shared" si="4"/>
        <v>42.26038349574273</v>
      </c>
      <c r="L141" s="8">
        <f t="shared" si="5"/>
        <v>31.747968257003539</v>
      </c>
      <c r="M141" s="2"/>
      <c r="N141" s="2"/>
    </row>
    <row r="142" spans="1:14" x14ac:dyDescent="0.2">
      <c r="A142" t="s">
        <v>154</v>
      </c>
      <c r="B142">
        <v>4</v>
      </c>
      <c r="C142" t="s">
        <v>157</v>
      </c>
      <c r="D142">
        <v>49703</v>
      </c>
      <c r="E142">
        <v>165153</v>
      </c>
      <c r="F142">
        <v>62862</v>
      </c>
      <c r="G142">
        <v>175510</v>
      </c>
      <c r="H142">
        <v>74066</v>
      </c>
      <c r="I142">
        <v>133939</v>
      </c>
      <c r="J142" s="7">
        <f t="shared" si="3"/>
        <v>53.733663476933394</v>
      </c>
      <c r="K142" s="7">
        <f t="shared" si="4"/>
        <v>47.257228197942716</v>
      </c>
      <c r="L142" s="8">
        <f t="shared" si="5"/>
        <v>28.78440422105238</v>
      </c>
      <c r="M142" s="2"/>
      <c r="N142" s="2"/>
    </row>
    <row r="143" spans="1:14" x14ac:dyDescent="0.2">
      <c r="A143" t="s">
        <v>154</v>
      </c>
      <c r="B143">
        <v>5</v>
      </c>
      <c r="C143" t="s">
        <v>158</v>
      </c>
      <c r="D143">
        <v>98189</v>
      </c>
      <c r="E143">
        <v>235789</v>
      </c>
      <c r="F143">
        <v>117237</v>
      </c>
      <c r="G143">
        <v>277222</v>
      </c>
      <c r="H143">
        <v>115347</v>
      </c>
      <c r="I143">
        <v>254786</v>
      </c>
      <c r="J143" s="7">
        <f t="shared" si="3"/>
        <v>41.200318583858817</v>
      </c>
      <c r="K143" s="7">
        <f t="shared" si="4"/>
        <v>40.558080814482622</v>
      </c>
      <c r="L143" s="8">
        <f t="shared" si="5"/>
        <v>37.672674417033875</v>
      </c>
      <c r="M143" s="2"/>
      <c r="N143" s="2"/>
    </row>
    <row r="144" spans="1:14" x14ac:dyDescent="0.2">
      <c r="A144" t="s">
        <v>154</v>
      </c>
      <c r="B144">
        <v>6</v>
      </c>
      <c r="C144" t="s">
        <v>159</v>
      </c>
      <c r="D144">
        <v>151111</v>
      </c>
      <c r="E144">
        <v>180849</v>
      </c>
      <c r="F144">
        <v>172774</v>
      </c>
      <c r="G144">
        <v>216236</v>
      </c>
      <c r="H144">
        <v>170378</v>
      </c>
      <c r="I144">
        <v>190612</v>
      </c>
      <c r="J144" s="7">
        <f t="shared" si="3"/>
        <v>8.9583082299072174</v>
      </c>
      <c r="K144" s="7">
        <f t="shared" si="4"/>
        <v>11.172463432816638</v>
      </c>
      <c r="L144" s="8">
        <f t="shared" si="5"/>
        <v>5.6051414166597411</v>
      </c>
      <c r="M144" s="2"/>
      <c r="N144" s="2"/>
    </row>
    <row r="145" spans="1:14" x14ac:dyDescent="0.2">
      <c r="A145" t="s">
        <v>154</v>
      </c>
      <c r="B145">
        <v>7</v>
      </c>
      <c r="C145" t="s">
        <v>160</v>
      </c>
      <c r="D145">
        <v>30710</v>
      </c>
      <c r="E145">
        <v>271958</v>
      </c>
      <c r="F145">
        <v>41129</v>
      </c>
      <c r="G145">
        <v>274822</v>
      </c>
      <c r="H145">
        <v>46050</v>
      </c>
      <c r="I145">
        <v>226762</v>
      </c>
      <c r="J145" s="7">
        <f t="shared" si="3"/>
        <v>79.707137854018256</v>
      </c>
      <c r="K145" s="7">
        <f t="shared" si="4"/>
        <v>73.96495026127468</v>
      </c>
      <c r="L145" s="8">
        <f t="shared" si="5"/>
        <v>66.240487955075295</v>
      </c>
      <c r="M145" s="2"/>
      <c r="N145" s="2"/>
    </row>
    <row r="146" spans="1:14" x14ac:dyDescent="0.2">
      <c r="A146" t="s">
        <v>154</v>
      </c>
      <c r="B146">
        <v>8</v>
      </c>
      <c r="C146" t="s">
        <v>161</v>
      </c>
      <c r="D146">
        <v>113316</v>
      </c>
      <c r="E146">
        <v>158559</v>
      </c>
      <c r="F146">
        <v>138156</v>
      </c>
      <c r="G146">
        <v>189292</v>
      </c>
      <c r="H146">
        <v>141262</v>
      </c>
      <c r="I146">
        <v>162699</v>
      </c>
      <c r="J146" s="7">
        <f t="shared" si="3"/>
        <v>16.641103448275864</v>
      </c>
      <c r="K146" s="7">
        <f t="shared" si="4"/>
        <v>15.616525371967457</v>
      </c>
      <c r="L146" s="8">
        <f t="shared" si="5"/>
        <v>7.0525495047061959</v>
      </c>
      <c r="M146" s="2"/>
      <c r="N146" s="2"/>
    </row>
    <row r="147" spans="1:14" x14ac:dyDescent="0.2">
      <c r="A147" t="s">
        <v>154</v>
      </c>
      <c r="B147">
        <v>9</v>
      </c>
      <c r="C147" t="s">
        <v>162</v>
      </c>
      <c r="D147">
        <v>88224</v>
      </c>
      <c r="E147">
        <v>233366</v>
      </c>
      <c r="F147">
        <v>108044</v>
      </c>
      <c r="G147">
        <v>265263</v>
      </c>
      <c r="H147">
        <v>108074</v>
      </c>
      <c r="I147">
        <v>234690</v>
      </c>
      <c r="J147" s="7">
        <f t="shared" si="3"/>
        <v>45.132622283031189</v>
      </c>
      <c r="K147" s="7">
        <f t="shared" si="4"/>
        <v>42.115202768766721</v>
      </c>
      <c r="L147" s="8">
        <f t="shared" si="5"/>
        <v>36.939701952363727</v>
      </c>
      <c r="M147" s="2"/>
      <c r="N147" s="2"/>
    </row>
    <row r="148" spans="1:14" x14ac:dyDescent="0.2">
      <c r="A148" t="s">
        <v>154</v>
      </c>
      <c r="B148">
        <v>10</v>
      </c>
      <c r="C148" t="s">
        <v>163</v>
      </c>
      <c r="D148">
        <v>112826</v>
      </c>
      <c r="E148">
        <v>186092</v>
      </c>
      <c r="F148">
        <v>128425</v>
      </c>
      <c r="G148">
        <v>220501</v>
      </c>
      <c r="H148">
        <v>126144</v>
      </c>
      <c r="I148">
        <v>198639</v>
      </c>
      <c r="J148" s="7">
        <f t="shared" ref="J148:J211" si="6">(E148-D148)/(E148+D148)*100</f>
        <v>24.510400845716884</v>
      </c>
      <c r="K148" s="7">
        <f t="shared" ref="K148:K211" si="7">(G148-F148)/(G148+F148)*100</f>
        <v>26.388403271753898</v>
      </c>
      <c r="L148" s="8">
        <f t="shared" ref="L148:L211" si="8">(I148-H148)/(I148+H148)*100</f>
        <v>22.321057444509105</v>
      </c>
      <c r="M148" s="2"/>
      <c r="N148" s="2"/>
    </row>
    <row r="149" spans="1:14" x14ac:dyDescent="0.2">
      <c r="A149" t="s">
        <v>154</v>
      </c>
      <c r="B149">
        <v>11</v>
      </c>
      <c r="C149" t="s">
        <v>164</v>
      </c>
      <c r="D149">
        <v>136622</v>
      </c>
      <c r="E149">
        <v>171639</v>
      </c>
      <c r="F149">
        <v>157410</v>
      </c>
      <c r="G149">
        <v>215296</v>
      </c>
      <c r="H149">
        <v>157954</v>
      </c>
      <c r="I149">
        <v>199305</v>
      </c>
      <c r="J149" s="7">
        <f t="shared" si="6"/>
        <v>11.359529749141149</v>
      </c>
      <c r="K149" s="7">
        <f t="shared" si="7"/>
        <v>15.531276663107112</v>
      </c>
      <c r="L149" s="8">
        <f t="shared" si="8"/>
        <v>11.574515967407399</v>
      </c>
      <c r="M149" s="2"/>
      <c r="N149" s="2"/>
    </row>
    <row r="150" spans="1:14" x14ac:dyDescent="0.2">
      <c r="A150" t="s">
        <v>154</v>
      </c>
      <c r="B150">
        <v>12</v>
      </c>
      <c r="C150" t="s">
        <v>165</v>
      </c>
      <c r="D150">
        <v>251423</v>
      </c>
      <c r="E150">
        <v>95481</v>
      </c>
      <c r="F150">
        <v>269955</v>
      </c>
      <c r="G150">
        <v>106235</v>
      </c>
      <c r="H150">
        <v>264569</v>
      </c>
      <c r="I150">
        <v>102544</v>
      </c>
      <c r="J150" s="7">
        <f t="shared" si="6"/>
        <v>-44.952494061757719</v>
      </c>
      <c r="K150" s="7">
        <f t="shared" si="7"/>
        <v>-43.520561418432173</v>
      </c>
      <c r="L150" s="8">
        <f t="shared" si="8"/>
        <v>-44.134912138769259</v>
      </c>
      <c r="M150" s="2"/>
      <c r="N150" s="2"/>
    </row>
    <row r="151" spans="1:14" x14ac:dyDescent="0.2">
      <c r="A151" t="s">
        <v>154</v>
      </c>
      <c r="B151">
        <v>13</v>
      </c>
      <c r="C151" t="s">
        <v>166</v>
      </c>
      <c r="D151">
        <v>147917</v>
      </c>
      <c r="E151">
        <v>176308</v>
      </c>
      <c r="F151">
        <v>155753</v>
      </c>
      <c r="G151">
        <v>195365</v>
      </c>
      <c r="H151">
        <v>145442</v>
      </c>
      <c r="I151">
        <v>180769</v>
      </c>
      <c r="J151" s="7">
        <f t="shared" si="6"/>
        <v>8.7565733672603905</v>
      </c>
      <c r="K151" s="7">
        <f t="shared" si="7"/>
        <v>11.281677384810804</v>
      </c>
      <c r="L151" s="8">
        <f t="shared" si="8"/>
        <v>10.829493793894136</v>
      </c>
      <c r="M151" s="2"/>
      <c r="N151" s="2"/>
    </row>
    <row r="152" spans="1:14" x14ac:dyDescent="0.2">
      <c r="A152" t="s">
        <v>154</v>
      </c>
      <c r="B152">
        <v>14</v>
      </c>
      <c r="C152" t="s">
        <v>167</v>
      </c>
      <c r="D152">
        <v>130827</v>
      </c>
      <c r="E152">
        <v>157107</v>
      </c>
      <c r="F152">
        <v>151251</v>
      </c>
      <c r="G152">
        <v>191039</v>
      </c>
      <c r="H152">
        <v>156109</v>
      </c>
      <c r="I152">
        <v>173513</v>
      </c>
      <c r="J152" s="7">
        <f t="shared" si="6"/>
        <v>9.1270916251641001</v>
      </c>
      <c r="K152" s="7">
        <f t="shared" si="7"/>
        <v>11.624061468345555</v>
      </c>
      <c r="L152" s="8">
        <f t="shared" si="8"/>
        <v>5.279987379483166</v>
      </c>
      <c r="M152" s="2"/>
      <c r="N152" s="2"/>
    </row>
    <row r="153" spans="1:14" x14ac:dyDescent="0.2">
      <c r="A153" t="s">
        <v>154</v>
      </c>
      <c r="B153">
        <v>15</v>
      </c>
      <c r="C153" t="s">
        <v>168</v>
      </c>
      <c r="D153">
        <v>244500</v>
      </c>
      <c r="E153">
        <v>102699</v>
      </c>
      <c r="F153">
        <v>269624</v>
      </c>
      <c r="G153">
        <v>117118</v>
      </c>
      <c r="H153">
        <v>263513</v>
      </c>
      <c r="I153">
        <v>111478</v>
      </c>
      <c r="J153" s="7">
        <f t="shared" si="6"/>
        <v>-40.841419474134433</v>
      </c>
      <c r="K153" s="7">
        <f t="shared" si="7"/>
        <v>-39.433524158224351</v>
      </c>
      <c r="L153" s="8">
        <f t="shared" si="8"/>
        <v>-40.543639714019804</v>
      </c>
      <c r="M153" s="2"/>
      <c r="N153" s="2"/>
    </row>
    <row r="154" spans="1:14" x14ac:dyDescent="0.2">
      <c r="A154" t="s">
        <v>154</v>
      </c>
      <c r="B154">
        <v>16</v>
      </c>
      <c r="C154" t="s">
        <v>169</v>
      </c>
      <c r="D154">
        <v>211857</v>
      </c>
      <c r="E154">
        <v>125643</v>
      </c>
      <c r="F154">
        <v>237376</v>
      </c>
      <c r="G154">
        <v>152417</v>
      </c>
      <c r="H154">
        <v>236426</v>
      </c>
      <c r="I154">
        <v>147603</v>
      </c>
      <c r="J154" s="7">
        <f t="shared" si="6"/>
        <v>-25.544888888888888</v>
      </c>
      <c r="K154" s="7">
        <f t="shared" si="7"/>
        <v>-21.795927582075613</v>
      </c>
      <c r="L154" s="8">
        <f t="shared" si="8"/>
        <v>-23.129242843639414</v>
      </c>
      <c r="M154" s="2"/>
      <c r="N154" s="2"/>
    </row>
    <row r="155" spans="1:14" x14ac:dyDescent="0.2">
      <c r="A155" t="s">
        <v>154</v>
      </c>
      <c r="B155">
        <v>17</v>
      </c>
      <c r="C155" t="s">
        <v>170</v>
      </c>
      <c r="D155">
        <v>138524</v>
      </c>
      <c r="E155">
        <v>158497</v>
      </c>
      <c r="F155">
        <v>150383</v>
      </c>
      <c r="G155">
        <v>174951</v>
      </c>
      <c r="H155">
        <v>147745</v>
      </c>
      <c r="I155">
        <v>162994</v>
      </c>
      <c r="J155" s="7">
        <f t="shared" si="6"/>
        <v>6.7244403594358655</v>
      </c>
      <c r="K155" s="7">
        <f t="shared" si="7"/>
        <v>7.5516238696232181</v>
      </c>
      <c r="L155" s="8">
        <f t="shared" si="8"/>
        <v>4.9073338074718658</v>
      </c>
      <c r="M155" s="2"/>
      <c r="N155" s="2"/>
    </row>
    <row r="156" spans="1:14" x14ac:dyDescent="0.2">
      <c r="A156" t="s">
        <v>172</v>
      </c>
      <c r="B156">
        <v>1</v>
      </c>
      <c r="C156" t="s">
        <v>171</v>
      </c>
      <c r="D156">
        <v>128711</v>
      </c>
      <c r="E156">
        <v>165699</v>
      </c>
      <c r="F156">
        <v>153069</v>
      </c>
      <c r="G156">
        <v>181788</v>
      </c>
      <c r="H156">
        <v>160552</v>
      </c>
      <c r="I156">
        <v>161667</v>
      </c>
      <c r="J156" s="7">
        <f t="shared" si="6"/>
        <v>12.56343194864305</v>
      </c>
      <c r="K156" s="7">
        <f t="shared" si="7"/>
        <v>8.5764968329764635</v>
      </c>
      <c r="L156" s="8">
        <f t="shared" si="8"/>
        <v>0.34603794313805208</v>
      </c>
      <c r="M156" s="2"/>
      <c r="N156" s="2"/>
    </row>
    <row r="157" spans="1:14" x14ac:dyDescent="0.2">
      <c r="A157" t="s">
        <v>172</v>
      </c>
      <c r="B157">
        <v>2</v>
      </c>
      <c r="C157" t="s">
        <v>173</v>
      </c>
      <c r="D157">
        <v>172631</v>
      </c>
      <c r="E157">
        <v>99640</v>
      </c>
      <c r="F157">
        <v>187791</v>
      </c>
      <c r="G157">
        <v>117641</v>
      </c>
      <c r="H157">
        <v>187181</v>
      </c>
      <c r="I157">
        <v>107778</v>
      </c>
      <c r="J157" s="7">
        <f t="shared" si="6"/>
        <v>-26.808216813395475</v>
      </c>
      <c r="K157" s="7">
        <f t="shared" si="7"/>
        <v>-22.967469027475836</v>
      </c>
      <c r="L157" s="8">
        <f t="shared" si="8"/>
        <v>-26.920012611922335</v>
      </c>
      <c r="M157" s="2"/>
      <c r="N157" s="2"/>
    </row>
    <row r="158" spans="1:14" x14ac:dyDescent="0.2">
      <c r="A158" t="s">
        <v>172</v>
      </c>
      <c r="B158">
        <v>3</v>
      </c>
      <c r="C158" t="s">
        <v>174</v>
      </c>
      <c r="D158">
        <v>187796</v>
      </c>
      <c r="E158">
        <v>87610</v>
      </c>
      <c r="F158">
        <v>209987</v>
      </c>
      <c r="G158">
        <v>111499</v>
      </c>
      <c r="H158">
        <v>208474</v>
      </c>
      <c r="I158">
        <v>108258</v>
      </c>
      <c r="J158" s="7">
        <f t="shared" si="6"/>
        <v>-36.377566211338895</v>
      </c>
      <c r="K158" s="7">
        <f t="shared" si="7"/>
        <v>-30.635237615323842</v>
      </c>
      <c r="L158" s="8">
        <f t="shared" si="8"/>
        <v>-31.640629933192731</v>
      </c>
      <c r="M158" s="2"/>
      <c r="N158" s="2"/>
    </row>
    <row r="159" spans="1:14" x14ac:dyDescent="0.2">
      <c r="A159" t="s">
        <v>172</v>
      </c>
      <c r="B159">
        <v>4</v>
      </c>
      <c r="C159" t="s">
        <v>175</v>
      </c>
      <c r="D159">
        <v>192801</v>
      </c>
      <c r="E159">
        <v>89619</v>
      </c>
      <c r="F159">
        <v>218974</v>
      </c>
      <c r="G159">
        <v>118235</v>
      </c>
      <c r="H159">
        <v>212740</v>
      </c>
      <c r="I159">
        <v>115150</v>
      </c>
      <c r="J159" s="7">
        <f t="shared" si="6"/>
        <v>-36.534947949861909</v>
      </c>
      <c r="K159" s="7">
        <f t="shared" si="7"/>
        <v>-29.874350921831862</v>
      </c>
      <c r="L159" s="8">
        <f t="shared" si="8"/>
        <v>-29.763030284546648</v>
      </c>
      <c r="M159" s="2"/>
      <c r="N159" s="2"/>
    </row>
    <row r="160" spans="1:14" x14ac:dyDescent="0.2">
      <c r="A160" t="s">
        <v>172</v>
      </c>
      <c r="B160">
        <v>5</v>
      </c>
      <c r="C160" t="s">
        <v>176</v>
      </c>
      <c r="D160">
        <v>189828</v>
      </c>
      <c r="E160">
        <v>113707</v>
      </c>
      <c r="F160">
        <v>210086</v>
      </c>
      <c r="G160">
        <v>151374</v>
      </c>
      <c r="H160">
        <v>212150</v>
      </c>
      <c r="I160">
        <v>150105</v>
      </c>
      <c r="J160" s="7">
        <f t="shared" si="6"/>
        <v>-25.07816232065495</v>
      </c>
      <c r="K160" s="7">
        <f t="shared" si="7"/>
        <v>-16.243014441431971</v>
      </c>
      <c r="L160" s="8">
        <f t="shared" si="8"/>
        <v>-17.127437854549971</v>
      </c>
      <c r="M160" s="2"/>
      <c r="N160" s="2"/>
    </row>
    <row r="161" spans="1:14" x14ac:dyDescent="0.2">
      <c r="A161" t="s">
        <v>172</v>
      </c>
      <c r="B161">
        <v>6</v>
      </c>
      <c r="C161" t="s">
        <v>177</v>
      </c>
      <c r="D161">
        <v>194358</v>
      </c>
      <c r="E161">
        <v>83671</v>
      </c>
      <c r="F161">
        <v>215300</v>
      </c>
      <c r="G161">
        <v>109240</v>
      </c>
      <c r="H161">
        <v>212902</v>
      </c>
      <c r="I161">
        <v>107013</v>
      </c>
      <c r="J161" s="7">
        <f t="shared" si="6"/>
        <v>-39.811314647033228</v>
      </c>
      <c r="K161" s="7">
        <f t="shared" si="7"/>
        <v>-32.680101066124365</v>
      </c>
      <c r="L161" s="8">
        <f t="shared" si="8"/>
        <v>-33.099104449619432</v>
      </c>
      <c r="M161" s="2"/>
      <c r="N161" s="2"/>
    </row>
    <row r="162" spans="1:14" x14ac:dyDescent="0.2">
      <c r="A162" t="s">
        <v>172</v>
      </c>
      <c r="B162">
        <v>7</v>
      </c>
      <c r="C162" t="s">
        <v>178</v>
      </c>
      <c r="D162">
        <v>83997</v>
      </c>
      <c r="E162">
        <v>187222</v>
      </c>
      <c r="F162">
        <v>84782</v>
      </c>
      <c r="G162">
        <v>213507</v>
      </c>
      <c r="H162">
        <v>77134</v>
      </c>
      <c r="I162">
        <v>189586</v>
      </c>
      <c r="J162" s="7">
        <f t="shared" si="6"/>
        <v>38.05964921336632</v>
      </c>
      <c r="K162" s="7">
        <f t="shared" si="7"/>
        <v>43.154457589787086</v>
      </c>
      <c r="L162" s="8">
        <f t="shared" si="8"/>
        <v>42.161067786442715</v>
      </c>
      <c r="M162" s="2"/>
      <c r="N162" s="2"/>
    </row>
    <row r="163" spans="1:14" x14ac:dyDescent="0.2">
      <c r="A163" t="s">
        <v>172</v>
      </c>
      <c r="B163">
        <v>8</v>
      </c>
      <c r="C163" t="s">
        <v>179</v>
      </c>
      <c r="D163">
        <v>205868</v>
      </c>
      <c r="E163">
        <v>96613</v>
      </c>
      <c r="F163">
        <v>225099</v>
      </c>
      <c r="G163">
        <v>112016</v>
      </c>
      <c r="H163">
        <v>223051</v>
      </c>
      <c r="I163">
        <v>103784</v>
      </c>
      <c r="J163" s="7">
        <f t="shared" si="6"/>
        <v>-36.11962404250184</v>
      </c>
      <c r="K163" s="7">
        <f t="shared" si="7"/>
        <v>-33.544339468727294</v>
      </c>
      <c r="L163" s="8">
        <f t="shared" si="8"/>
        <v>-36.491501828139583</v>
      </c>
      <c r="M163" s="2"/>
      <c r="N163" s="2"/>
    </row>
    <row r="164" spans="1:14" x14ac:dyDescent="0.2">
      <c r="A164" t="s">
        <v>172</v>
      </c>
      <c r="B164">
        <v>9</v>
      </c>
      <c r="C164" t="s">
        <v>180</v>
      </c>
      <c r="D164">
        <v>200345</v>
      </c>
      <c r="E164">
        <v>107996</v>
      </c>
      <c r="F164">
        <v>223865</v>
      </c>
      <c r="G164">
        <v>126237</v>
      </c>
      <c r="H164">
        <v>226651</v>
      </c>
      <c r="I164">
        <v>121011</v>
      </c>
      <c r="J164" s="7">
        <f t="shared" si="6"/>
        <v>-29.950282317304545</v>
      </c>
      <c r="K164" s="7">
        <f t="shared" si="7"/>
        <v>-27.885587628748194</v>
      </c>
      <c r="L164" s="8">
        <f t="shared" si="8"/>
        <v>-30.385834517433601</v>
      </c>
      <c r="M164" s="2"/>
      <c r="N164" s="2"/>
    </row>
    <row r="165" spans="1:14" x14ac:dyDescent="0.2">
      <c r="A165" t="s">
        <v>182</v>
      </c>
      <c r="B165">
        <v>1</v>
      </c>
      <c r="C165" t="s">
        <v>181</v>
      </c>
      <c r="D165">
        <v>181705</v>
      </c>
      <c r="E165">
        <v>82576</v>
      </c>
      <c r="F165">
        <v>206405</v>
      </c>
      <c r="G165">
        <v>108775</v>
      </c>
      <c r="H165">
        <v>200988</v>
      </c>
      <c r="I165">
        <v>103889</v>
      </c>
      <c r="J165" s="7">
        <f t="shared" si="6"/>
        <v>-37.508939348647843</v>
      </c>
      <c r="K165" s="7">
        <f t="shared" si="7"/>
        <v>-30.975950250650424</v>
      </c>
      <c r="L165" s="8">
        <f t="shared" si="8"/>
        <v>-31.848581559120564</v>
      </c>
      <c r="M165" s="2"/>
      <c r="N165" s="2"/>
    </row>
    <row r="166" spans="1:14" x14ac:dyDescent="0.2">
      <c r="A166" t="s">
        <v>182</v>
      </c>
      <c r="B166">
        <v>2</v>
      </c>
      <c r="C166" t="s">
        <v>183</v>
      </c>
      <c r="D166">
        <v>158026</v>
      </c>
      <c r="E166">
        <v>103985</v>
      </c>
      <c r="F166">
        <v>182834</v>
      </c>
      <c r="G166">
        <v>130114</v>
      </c>
      <c r="H166">
        <v>181316</v>
      </c>
      <c r="I166">
        <v>120737</v>
      </c>
      <c r="J166" s="7">
        <f t="shared" si="6"/>
        <v>-20.6254699230185</v>
      </c>
      <c r="K166" s="7">
        <f t="shared" si="7"/>
        <v>-16.846249217122335</v>
      </c>
      <c r="L166" s="8">
        <f t="shared" si="8"/>
        <v>-20.05575180514678</v>
      </c>
      <c r="M166" s="2"/>
      <c r="N166" s="2"/>
    </row>
    <row r="167" spans="1:14" x14ac:dyDescent="0.2">
      <c r="A167" t="s">
        <v>182</v>
      </c>
      <c r="B167">
        <v>3</v>
      </c>
      <c r="C167" t="s">
        <v>184</v>
      </c>
      <c r="D167">
        <v>164123</v>
      </c>
      <c r="E167">
        <v>146049</v>
      </c>
      <c r="F167">
        <v>187666</v>
      </c>
      <c r="G167">
        <v>205559</v>
      </c>
      <c r="H167">
        <v>187105</v>
      </c>
      <c r="I167">
        <v>203406</v>
      </c>
      <c r="J167" s="7">
        <f t="shared" si="6"/>
        <v>-5.8270894858336666</v>
      </c>
      <c r="K167" s="7">
        <f t="shared" si="7"/>
        <v>4.5503210630046409</v>
      </c>
      <c r="L167" s="8">
        <f t="shared" si="8"/>
        <v>4.17427422018842</v>
      </c>
      <c r="M167" s="2"/>
      <c r="N167" s="2"/>
    </row>
    <row r="168" spans="1:14" x14ac:dyDescent="0.2">
      <c r="A168" t="s">
        <v>182</v>
      </c>
      <c r="B168">
        <v>4</v>
      </c>
      <c r="C168" t="s">
        <v>185</v>
      </c>
      <c r="D168">
        <v>165943</v>
      </c>
      <c r="E168">
        <v>90102</v>
      </c>
      <c r="F168">
        <v>193831</v>
      </c>
      <c r="G168">
        <v>122605</v>
      </c>
      <c r="H168">
        <v>189393</v>
      </c>
      <c r="I168">
        <v>116821</v>
      </c>
      <c r="J168" s="7">
        <f t="shared" si="6"/>
        <v>-29.620183952039682</v>
      </c>
      <c r="K168" s="7">
        <f t="shared" si="7"/>
        <v>-22.508816948766892</v>
      </c>
      <c r="L168" s="8">
        <f t="shared" si="8"/>
        <v>-23.699765523457451</v>
      </c>
      <c r="M168" s="2"/>
      <c r="N168" s="2"/>
    </row>
    <row r="169" spans="1:14" x14ac:dyDescent="0.2">
      <c r="A169" t="s">
        <v>187</v>
      </c>
      <c r="B169">
        <v>1</v>
      </c>
      <c r="C169" t="s">
        <v>186</v>
      </c>
      <c r="D169">
        <v>228439</v>
      </c>
      <c r="E169">
        <v>84092</v>
      </c>
      <c r="F169">
        <v>248489</v>
      </c>
      <c r="G169">
        <v>97807</v>
      </c>
      <c r="H169">
        <v>250232</v>
      </c>
      <c r="I169">
        <v>88125</v>
      </c>
      <c r="J169" s="7">
        <f t="shared" si="6"/>
        <v>-46.186458303336309</v>
      </c>
      <c r="K169" s="7">
        <f t="shared" si="7"/>
        <v>-43.512486427795878</v>
      </c>
      <c r="L169" s="8">
        <f t="shared" si="8"/>
        <v>-47.910047671542188</v>
      </c>
      <c r="M169" s="2"/>
      <c r="N169" s="2"/>
    </row>
    <row r="170" spans="1:14" x14ac:dyDescent="0.2">
      <c r="A170" t="s">
        <v>187</v>
      </c>
      <c r="B170">
        <v>2</v>
      </c>
      <c r="C170" t="s">
        <v>188</v>
      </c>
      <c r="D170">
        <v>210743</v>
      </c>
      <c r="E170">
        <v>86460</v>
      </c>
      <c r="F170">
        <v>237163</v>
      </c>
      <c r="G170">
        <v>108495</v>
      </c>
      <c r="H170">
        <v>245734</v>
      </c>
      <c r="I170">
        <v>100536</v>
      </c>
      <c r="J170" s="7">
        <f t="shared" si="6"/>
        <v>-41.817545583321838</v>
      </c>
      <c r="K170" s="7">
        <f t="shared" si="7"/>
        <v>-37.224076977822008</v>
      </c>
      <c r="L170" s="8">
        <f t="shared" si="8"/>
        <v>-41.932018367170123</v>
      </c>
      <c r="M170" s="2"/>
      <c r="N170" s="2"/>
    </row>
    <row r="171" spans="1:14" x14ac:dyDescent="0.2">
      <c r="A171" t="s">
        <v>187</v>
      </c>
      <c r="B171">
        <v>3</v>
      </c>
      <c r="C171" t="s">
        <v>189</v>
      </c>
      <c r="D171">
        <v>133479</v>
      </c>
      <c r="E171">
        <v>185514</v>
      </c>
      <c r="F171">
        <v>138560</v>
      </c>
      <c r="G171">
        <v>220453</v>
      </c>
      <c r="H171">
        <v>131797</v>
      </c>
      <c r="I171">
        <v>194712</v>
      </c>
      <c r="J171" s="7">
        <f t="shared" si="6"/>
        <v>16.312270175207608</v>
      </c>
      <c r="K171" s="7">
        <f t="shared" si="7"/>
        <v>22.810594602423865</v>
      </c>
      <c r="L171" s="8">
        <f t="shared" si="8"/>
        <v>19.26899411654809</v>
      </c>
      <c r="M171" s="2"/>
      <c r="N171" s="2"/>
    </row>
    <row r="172" spans="1:14" x14ac:dyDescent="0.2">
      <c r="A172" t="s">
        <v>187</v>
      </c>
      <c r="B172">
        <v>4</v>
      </c>
      <c r="C172" t="s">
        <v>190</v>
      </c>
      <c r="D172">
        <v>214603</v>
      </c>
      <c r="E172">
        <v>94335</v>
      </c>
      <c r="F172">
        <v>245620</v>
      </c>
      <c r="G172">
        <v>122823</v>
      </c>
      <c r="H172">
        <v>250916</v>
      </c>
      <c r="I172">
        <v>117644</v>
      </c>
      <c r="J172" s="7">
        <f t="shared" si="6"/>
        <v>-38.929493943768648</v>
      </c>
      <c r="K172" s="7">
        <f t="shared" si="7"/>
        <v>-33.328628851681266</v>
      </c>
      <c r="L172" s="8">
        <f t="shared" si="8"/>
        <v>-36.16019101367484</v>
      </c>
      <c r="M172" s="2"/>
      <c r="N172" s="2"/>
    </row>
    <row r="173" spans="1:14" x14ac:dyDescent="0.2">
      <c r="A173" t="s">
        <v>187</v>
      </c>
      <c r="B173">
        <v>5</v>
      </c>
      <c r="C173" t="s">
        <v>191</v>
      </c>
      <c r="D173">
        <v>236982</v>
      </c>
      <c r="E173">
        <v>55289</v>
      </c>
      <c r="F173">
        <v>258663</v>
      </c>
      <c r="G173">
        <v>63987</v>
      </c>
      <c r="H173">
        <v>257630</v>
      </c>
      <c r="I173">
        <v>55275</v>
      </c>
      <c r="J173" s="7">
        <f t="shared" si="6"/>
        <v>-62.165935039740518</v>
      </c>
      <c r="K173" s="7">
        <f t="shared" si="7"/>
        <v>-60.336587633658766</v>
      </c>
      <c r="L173" s="8">
        <f t="shared" si="8"/>
        <v>-64.669787954810559</v>
      </c>
      <c r="M173" s="2"/>
      <c r="N173" s="2"/>
    </row>
    <row r="174" spans="1:14" x14ac:dyDescent="0.2">
      <c r="A174" t="s">
        <v>187</v>
      </c>
      <c r="B174">
        <v>6</v>
      </c>
      <c r="C174" t="s">
        <v>192</v>
      </c>
      <c r="D174">
        <v>178379</v>
      </c>
      <c r="E174">
        <v>121973</v>
      </c>
      <c r="F174">
        <v>197788</v>
      </c>
      <c r="G174">
        <v>158032</v>
      </c>
      <c r="H174">
        <v>201185</v>
      </c>
      <c r="I174">
        <v>147751</v>
      </c>
      <c r="J174" s="7">
        <f t="shared" si="6"/>
        <v>-18.77996484125293</v>
      </c>
      <c r="K174" s="7">
        <f t="shared" si="7"/>
        <v>-11.173065032881794</v>
      </c>
      <c r="L174" s="8">
        <f t="shared" si="8"/>
        <v>-15.313409908980443</v>
      </c>
      <c r="M174" s="2"/>
      <c r="N174" s="2"/>
    </row>
    <row r="175" spans="1:14" x14ac:dyDescent="0.2">
      <c r="A175" t="s">
        <v>194</v>
      </c>
      <c r="B175">
        <v>1</v>
      </c>
      <c r="C175" t="s">
        <v>193</v>
      </c>
      <c r="D175">
        <v>243284</v>
      </c>
      <c r="E175">
        <v>94683</v>
      </c>
      <c r="F175">
        <v>264722</v>
      </c>
      <c r="G175">
        <v>115067</v>
      </c>
      <c r="H175">
        <v>256662</v>
      </c>
      <c r="I175">
        <v>112920</v>
      </c>
      <c r="J175" s="7">
        <f t="shared" si="6"/>
        <v>-43.969085739140212</v>
      </c>
      <c r="K175" s="7">
        <f t="shared" si="7"/>
        <v>-39.404774756509539</v>
      </c>
      <c r="L175" s="8">
        <f t="shared" si="8"/>
        <v>-38.893127912073638</v>
      </c>
      <c r="M175" s="2"/>
      <c r="N175" s="2"/>
    </row>
    <row r="176" spans="1:14" x14ac:dyDescent="0.2">
      <c r="A176" t="s">
        <v>194</v>
      </c>
      <c r="B176">
        <v>2</v>
      </c>
      <c r="C176" t="s">
        <v>195</v>
      </c>
      <c r="D176">
        <v>101462</v>
      </c>
      <c r="E176">
        <v>214539</v>
      </c>
      <c r="F176">
        <v>112236</v>
      </c>
      <c r="G176">
        <v>237267</v>
      </c>
      <c r="H176">
        <v>106204</v>
      </c>
      <c r="I176">
        <v>207199</v>
      </c>
      <c r="J176" s="7">
        <f t="shared" si="6"/>
        <v>35.783747519786331</v>
      </c>
      <c r="K176" s="7">
        <f t="shared" si="7"/>
        <v>35.773941854576357</v>
      </c>
      <c r="L176" s="8">
        <f t="shared" si="8"/>
        <v>32.225281825636642</v>
      </c>
      <c r="M176" s="2"/>
      <c r="N176" s="2"/>
    </row>
    <row r="177" spans="1:14" x14ac:dyDescent="0.2">
      <c r="A177" t="s">
        <v>194</v>
      </c>
      <c r="B177">
        <v>3</v>
      </c>
      <c r="C177" t="s">
        <v>196</v>
      </c>
      <c r="D177">
        <v>236654</v>
      </c>
      <c r="E177">
        <v>92446</v>
      </c>
      <c r="F177">
        <v>247762</v>
      </c>
      <c r="G177">
        <v>98151</v>
      </c>
      <c r="H177">
        <v>241083</v>
      </c>
      <c r="I177">
        <v>89993</v>
      </c>
      <c r="J177" s="7">
        <f t="shared" si="6"/>
        <v>-43.818900030385898</v>
      </c>
      <c r="K177" s="7">
        <f t="shared" si="7"/>
        <v>-43.251048674088572</v>
      </c>
      <c r="L177" s="8">
        <f t="shared" si="8"/>
        <v>-45.636047312399569</v>
      </c>
      <c r="M177" s="2"/>
      <c r="N177" s="2"/>
    </row>
    <row r="178" spans="1:14" x14ac:dyDescent="0.2">
      <c r="A178" t="s">
        <v>194</v>
      </c>
      <c r="B178">
        <v>4</v>
      </c>
      <c r="C178" t="s">
        <v>197</v>
      </c>
      <c r="D178">
        <v>246758</v>
      </c>
      <c r="E178">
        <v>79723</v>
      </c>
      <c r="F178">
        <v>263821</v>
      </c>
      <c r="G178">
        <v>87672</v>
      </c>
      <c r="H178">
        <v>254745</v>
      </c>
      <c r="I178">
        <v>78250</v>
      </c>
      <c r="J178" s="7">
        <f t="shared" si="6"/>
        <v>-51.16224221317627</v>
      </c>
      <c r="K178" s="7">
        <f t="shared" si="7"/>
        <v>-50.114511526545336</v>
      </c>
      <c r="L178" s="8">
        <f t="shared" si="8"/>
        <v>-53.002297331791773</v>
      </c>
      <c r="M178" s="2"/>
      <c r="N178" s="2"/>
    </row>
    <row r="179" spans="1:14" x14ac:dyDescent="0.2">
      <c r="A179" t="s">
        <v>194</v>
      </c>
      <c r="B179">
        <v>5</v>
      </c>
      <c r="C179" t="s">
        <v>198</v>
      </c>
      <c r="D179">
        <v>218044</v>
      </c>
      <c r="E179">
        <v>103786</v>
      </c>
      <c r="F179">
        <v>228353</v>
      </c>
      <c r="G179">
        <v>111250</v>
      </c>
      <c r="H179">
        <v>218462</v>
      </c>
      <c r="I179">
        <v>100557</v>
      </c>
      <c r="J179" s="7">
        <f t="shared" si="6"/>
        <v>-35.502594537488733</v>
      </c>
      <c r="K179" s="7">
        <f t="shared" si="7"/>
        <v>-34.48232200540042</v>
      </c>
      <c r="L179" s="8">
        <f t="shared" si="8"/>
        <v>-36.958613750278197</v>
      </c>
      <c r="M179" s="2"/>
      <c r="N179" s="2"/>
    </row>
    <row r="180" spans="1:14" x14ac:dyDescent="0.2">
      <c r="A180" t="s">
        <v>194</v>
      </c>
      <c r="B180">
        <v>6</v>
      </c>
      <c r="C180" t="s">
        <v>199</v>
      </c>
      <c r="D180">
        <v>131350</v>
      </c>
      <c r="E180">
        <v>194034</v>
      </c>
      <c r="F180">
        <v>137955</v>
      </c>
      <c r="G180">
        <v>205683</v>
      </c>
      <c r="H180">
        <v>131196</v>
      </c>
      <c r="I180">
        <v>178062</v>
      </c>
      <c r="J180" s="7">
        <f t="shared" si="6"/>
        <v>19.264622722690728</v>
      </c>
      <c r="K180" s="7">
        <f t="shared" si="7"/>
        <v>19.709112496289698</v>
      </c>
      <c r="L180" s="8">
        <f t="shared" si="8"/>
        <v>15.154337155384825</v>
      </c>
      <c r="M180" s="2"/>
      <c r="N180" s="2"/>
    </row>
    <row r="181" spans="1:14" x14ac:dyDescent="0.2">
      <c r="A181" t="s">
        <v>201</v>
      </c>
      <c r="B181">
        <v>1</v>
      </c>
      <c r="C181" t="s">
        <v>200</v>
      </c>
      <c r="D181">
        <v>137181</v>
      </c>
      <c r="E181">
        <v>201259</v>
      </c>
      <c r="F181">
        <v>150076</v>
      </c>
      <c r="G181">
        <v>235212</v>
      </c>
      <c r="H181">
        <v>160045</v>
      </c>
      <c r="I181">
        <v>211784</v>
      </c>
      <c r="J181" s="7">
        <f t="shared" si="6"/>
        <v>18.933341212622619</v>
      </c>
      <c r="K181" s="7">
        <f t="shared" si="7"/>
        <v>22.096717260854216</v>
      </c>
      <c r="L181" s="8">
        <f t="shared" si="8"/>
        <v>13.91472962033623</v>
      </c>
      <c r="M181" s="2"/>
      <c r="N181" s="2"/>
    </row>
    <row r="182" spans="1:14" x14ac:dyDescent="0.2">
      <c r="A182" t="s">
        <v>201</v>
      </c>
      <c r="B182">
        <v>2</v>
      </c>
      <c r="C182" t="s">
        <v>202</v>
      </c>
      <c r="D182">
        <v>123052</v>
      </c>
      <c r="E182">
        <v>209079</v>
      </c>
      <c r="F182">
        <v>132485</v>
      </c>
      <c r="G182">
        <v>254468</v>
      </c>
      <c r="H182">
        <v>141308</v>
      </c>
      <c r="I182">
        <v>231966</v>
      </c>
      <c r="J182" s="7">
        <f t="shared" si="6"/>
        <v>25.901526807193548</v>
      </c>
      <c r="K182" s="7">
        <f t="shared" si="7"/>
        <v>31.523983532883836</v>
      </c>
      <c r="L182" s="8">
        <f t="shared" si="8"/>
        <v>24.287252795533576</v>
      </c>
      <c r="M182" s="2"/>
      <c r="N182" s="2"/>
    </row>
    <row r="183" spans="1:14" x14ac:dyDescent="0.2">
      <c r="A183" t="s">
        <v>201</v>
      </c>
      <c r="B183">
        <v>3</v>
      </c>
      <c r="C183" t="s">
        <v>203</v>
      </c>
      <c r="D183">
        <v>121810</v>
      </c>
      <c r="E183">
        <v>195197</v>
      </c>
      <c r="F183">
        <v>131437</v>
      </c>
      <c r="G183">
        <v>233517</v>
      </c>
      <c r="H183">
        <v>140854</v>
      </c>
      <c r="I183">
        <v>208626</v>
      </c>
      <c r="J183" s="7">
        <f t="shared" si="6"/>
        <v>23.149961988221079</v>
      </c>
      <c r="K183" s="7">
        <f t="shared" si="7"/>
        <v>27.970648355683181</v>
      </c>
      <c r="L183" s="8">
        <f t="shared" si="8"/>
        <v>19.39223989927893</v>
      </c>
      <c r="M183" s="2"/>
      <c r="N183" s="2"/>
    </row>
    <row r="184" spans="1:14" x14ac:dyDescent="0.2">
      <c r="A184" t="s">
        <v>201</v>
      </c>
      <c r="B184">
        <v>4</v>
      </c>
      <c r="C184" t="s">
        <v>204</v>
      </c>
      <c r="D184">
        <v>132566</v>
      </c>
      <c r="E184">
        <v>217913</v>
      </c>
      <c r="F184">
        <v>145101</v>
      </c>
      <c r="G184">
        <v>263700</v>
      </c>
      <c r="H184">
        <v>158054</v>
      </c>
      <c r="I184">
        <v>237730</v>
      </c>
      <c r="J184" s="7">
        <f t="shared" si="6"/>
        <v>24.351530334199765</v>
      </c>
      <c r="K184" s="7">
        <f t="shared" si="7"/>
        <v>29.011426097294287</v>
      </c>
      <c r="L184" s="8">
        <f t="shared" si="8"/>
        <v>20.131182665292179</v>
      </c>
      <c r="M184" s="2"/>
      <c r="N184" s="2"/>
    </row>
    <row r="185" spans="1:14" x14ac:dyDescent="0.2">
      <c r="A185" t="s">
        <v>201</v>
      </c>
      <c r="B185">
        <v>5</v>
      </c>
      <c r="C185" t="s">
        <v>205</v>
      </c>
      <c r="D185">
        <v>92834</v>
      </c>
      <c r="E185">
        <v>255366</v>
      </c>
      <c r="F185">
        <v>94395</v>
      </c>
      <c r="G185">
        <v>298793</v>
      </c>
      <c r="H185">
        <v>97371</v>
      </c>
      <c r="I185">
        <v>265591</v>
      </c>
      <c r="J185" s="7">
        <f t="shared" si="6"/>
        <v>46.677771395749566</v>
      </c>
      <c r="K185" s="7">
        <f t="shared" si="7"/>
        <v>51.984801163819853</v>
      </c>
      <c r="L185" s="8">
        <f t="shared" si="8"/>
        <v>46.346449490580284</v>
      </c>
      <c r="M185" s="2"/>
      <c r="N185" s="2"/>
    </row>
    <row r="186" spans="1:14" x14ac:dyDescent="0.2">
      <c r="A186" t="s">
        <v>201</v>
      </c>
      <c r="B186">
        <v>6</v>
      </c>
      <c r="C186" t="s">
        <v>206</v>
      </c>
      <c r="D186">
        <v>153014</v>
      </c>
      <c r="E186">
        <v>227639</v>
      </c>
      <c r="F186">
        <v>158940</v>
      </c>
      <c r="G186">
        <v>283285</v>
      </c>
      <c r="H186">
        <v>166654</v>
      </c>
      <c r="I186">
        <v>255729</v>
      </c>
      <c r="J186" s="7">
        <f t="shared" si="6"/>
        <v>19.604469162202847</v>
      </c>
      <c r="K186" s="7">
        <f t="shared" si="7"/>
        <v>28.118039459551131</v>
      </c>
      <c r="L186" s="8">
        <f t="shared" si="8"/>
        <v>21.088680178889778</v>
      </c>
      <c r="M186" s="2"/>
      <c r="N186" s="2"/>
    </row>
    <row r="187" spans="1:14" x14ac:dyDescent="0.2">
      <c r="A187" t="s">
        <v>201</v>
      </c>
      <c r="B187">
        <v>7</v>
      </c>
      <c r="C187" t="s">
        <v>207</v>
      </c>
      <c r="D187">
        <v>34711</v>
      </c>
      <c r="E187">
        <v>247863</v>
      </c>
      <c r="F187">
        <v>41406</v>
      </c>
      <c r="G187">
        <v>269691</v>
      </c>
      <c r="H187">
        <v>47009</v>
      </c>
      <c r="I187">
        <v>222693</v>
      </c>
      <c r="J187" s="7">
        <f t="shared" si="6"/>
        <v>75.432276147133138</v>
      </c>
      <c r="K187" s="7">
        <f t="shared" si="7"/>
        <v>73.38064976518578</v>
      </c>
      <c r="L187" s="8">
        <f t="shared" si="8"/>
        <v>65.140043455369252</v>
      </c>
      <c r="M187" s="2"/>
      <c r="N187" s="2"/>
    </row>
    <row r="188" spans="1:14" x14ac:dyDescent="0.2">
      <c r="A188" t="s">
        <v>201</v>
      </c>
      <c r="B188">
        <v>8</v>
      </c>
      <c r="C188" t="s">
        <v>208</v>
      </c>
      <c r="D188">
        <v>124001</v>
      </c>
      <c r="E188">
        <v>228091</v>
      </c>
      <c r="F188">
        <v>130136</v>
      </c>
      <c r="G188">
        <v>277095</v>
      </c>
      <c r="H188">
        <v>139502</v>
      </c>
      <c r="I188">
        <v>242623</v>
      </c>
      <c r="J188" s="7">
        <f t="shared" si="6"/>
        <v>29.563295956738578</v>
      </c>
      <c r="K188" s="7">
        <f t="shared" si="7"/>
        <v>36.087380381159591</v>
      </c>
      <c r="L188" s="8">
        <f t="shared" si="8"/>
        <v>26.986195616617596</v>
      </c>
      <c r="M188" s="2"/>
      <c r="N188" s="2"/>
    </row>
    <row r="189" spans="1:14" x14ac:dyDescent="0.2">
      <c r="A189" t="s">
        <v>201</v>
      </c>
      <c r="B189">
        <v>9</v>
      </c>
      <c r="C189" t="s">
        <v>209</v>
      </c>
      <c r="D189">
        <v>171588</v>
      </c>
      <c r="E189">
        <v>212639</v>
      </c>
      <c r="F189">
        <v>183143</v>
      </c>
      <c r="G189">
        <v>266278</v>
      </c>
      <c r="H189">
        <v>200506</v>
      </c>
      <c r="I189">
        <v>249776</v>
      </c>
      <c r="J189" s="7">
        <f t="shared" si="6"/>
        <v>10.684048752430204</v>
      </c>
      <c r="K189" s="7">
        <f t="shared" si="7"/>
        <v>18.498245520347293</v>
      </c>
      <c r="L189" s="8">
        <f t="shared" si="8"/>
        <v>10.942031882242684</v>
      </c>
      <c r="M189" s="2"/>
      <c r="N189" s="2"/>
    </row>
    <row r="190" spans="1:14" x14ac:dyDescent="0.2">
      <c r="A190" t="s">
        <v>211</v>
      </c>
      <c r="B190">
        <v>1</v>
      </c>
      <c r="C190" t="s">
        <v>210</v>
      </c>
      <c r="D190">
        <v>220253</v>
      </c>
      <c r="E190">
        <v>133973</v>
      </c>
      <c r="F190">
        <v>230660</v>
      </c>
      <c r="G190">
        <v>171282</v>
      </c>
      <c r="H190">
        <v>243356</v>
      </c>
      <c r="I190">
        <v>171555</v>
      </c>
      <c r="J190" s="7">
        <f t="shared" si="6"/>
        <v>-24.35733119533857</v>
      </c>
      <c r="K190" s="7">
        <f t="shared" si="7"/>
        <v>-14.772778162023375</v>
      </c>
      <c r="L190" s="8">
        <f t="shared" si="8"/>
        <v>-17.305157009575549</v>
      </c>
      <c r="M190" s="2"/>
      <c r="N190" s="2"/>
    </row>
    <row r="191" spans="1:14" x14ac:dyDescent="0.2">
      <c r="A191" t="s">
        <v>211</v>
      </c>
      <c r="B191">
        <v>2</v>
      </c>
      <c r="C191" t="s">
        <v>212</v>
      </c>
      <c r="D191">
        <v>152769</v>
      </c>
      <c r="E191">
        <v>193396</v>
      </c>
      <c r="F191">
        <v>151161</v>
      </c>
      <c r="G191">
        <v>232337</v>
      </c>
      <c r="H191">
        <v>154843</v>
      </c>
      <c r="I191">
        <v>227194</v>
      </c>
      <c r="J191" s="7">
        <f t="shared" si="6"/>
        <v>11.736310718876835</v>
      </c>
      <c r="K191" s="7">
        <f t="shared" si="7"/>
        <v>21.167255109544246</v>
      </c>
      <c r="L191" s="8">
        <f t="shared" si="8"/>
        <v>18.938218026002719</v>
      </c>
      <c r="M191" s="2"/>
      <c r="N191" s="2"/>
    </row>
    <row r="192" spans="1:14" x14ac:dyDescent="0.2">
      <c r="A192" t="s">
        <v>211</v>
      </c>
      <c r="B192">
        <v>3</v>
      </c>
      <c r="C192" t="s">
        <v>213</v>
      </c>
      <c r="D192">
        <v>146870</v>
      </c>
      <c r="E192">
        <v>197832</v>
      </c>
      <c r="F192">
        <v>149610</v>
      </c>
      <c r="G192">
        <v>255188</v>
      </c>
      <c r="H192">
        <v>151360</v>
      </c>
      <c r="I192">
        <v>249542</v>
      </c>
      <c r="J192" s="7">
        <f t="shared" si="6"/>
        <v>14.784364465538349</v>
      </c>
      <c r="K192" s="7">
        <f t="shared" si="7"/>
        <v>26.081650601040518</v>
      </c>
      <c r="L192" s="8">
        <f t="shared" si="8"/>
        <v>24.490274431157737</v>
      </c>
      <c r="M192" s="2"/>
      <c r="N192" s="2"/>
    </row>
    <row r="193" spans="1:14" x14ac:dyDescent="0.2">
      <c r="A193" t="s">
        <v>211</v>
      </c>
      <c r="B193">
        <v>4</v>
      </c>
      <c r="C193" t="s">
        <v>214</v>
      </c>
      <c r="D193">
        <v>22519</v>
      </c>
      <c r="E193">
        <v>270667</v>
      </c>
      <c r="F193">
        <v>26259</v>
      </c>
      <c r="G193">
        <v>271645</v>
      </c>
      <c r="H193">
        <v>33369</v>
      </c>
      <c r="I193">
        <v>240880</v>
      </c>
      <c r="J193" s="7">
        <f t="shared" si="6"/>
        <v>84.638420661286702</v>
      </c>
      <c r="K193" s="7">
        <f t="shared" si="7"/>
        <v>82.370830871690202</v>
      </c>
      <c r="L193" s="8">
        <f t="shared" si="8"/>
        <v>75.665180182972421</v>
      </c>
      <c r="M193" s="2"/>
      <c r="N193" s="2"/>
    </row>
    <row r="194" spans="1:14" x14ac:dyDescent="0.2">
      <c r="A194" t="s">
        <v>211</v>
      </c>
      <c r="B194">
        <v>5</v>
      </c>
      <c r="C194" t="s">
        <v>215</v>
      </c>
      <c r="D194">
        <v>122641</v>
      </c>
      <c r="E194">
        <v>205299</v>
      </c>
      <c r="F194">
        <v>128916</v>
      </c>
      <c r="G194">
        <v>280886</v>
      </c>
      <c r="H194">
        <v>138217</v>
      </c>
      <c r="I194">
        <v>280941</v>
      </c>
      <c r="J194" s="7">
        <f t="shared" si="6"/>
        <v>25.205220467158629</v>
      </c>
      <c r="K194" s="7">
        <f t="shared" si="7"/>
        <v>37.083762402330883</v>
      </c>
      <c r="L194" s="8">
        <f t="shared" si="8"/>
        <v>34.050167240038363</v>
      </c>
      <c r="M194" s="2"/>
      <c r="N194" s="2"/>
    </row>
    <row r="195" spans="1:14" x14ac:dyDescent="0.2">
      <c r="A195" t="s">
        <v>211</v>
      </c>
      <c r="B195">
        <v>6</v>
      </c>
      <c r="C195" t="s">
        <v>216</v>
      </c>
      <c r="D195">
        <v>156630</v>
      </c>
      <c r="E195">
        <v>160459</v>
      </c>
      <c r="F195">
        <v>163830</v>
      </c>
      <c r="G195">
        <v>200339</v>
      </c>
      <c r="H195">
        <v>177658</v>
      </c>
      <c r="I195">
        <v>200040</v>
      </c>
      <c r="J195" s="7">
        <f t="shared" si="6"/>
        <v>1.2075474078255632</v>
      </c>
      <c r="K195" s="7">
        <f t="shared" si="7"/>
        <v>10.025290455804861</v>
      </c>
      <c r="L195" s="8">
        <f t="shared" si="8"/>
        <v>5.9258984691473078</v>
      </c>
      <c r="M195" s="2"/>
      <c r="N195" s="2"/>
    </row>
    <row r="196" spans="1:14" x14ac:dyDescent="0.2">
      <c r="A196" t="s">
        <v>211</v>
      </c>
      <c r="B196">
        <v>7</v>
      </c>
      <c r="C196" t="s">
        <v>217</v>
      </c>
      <c r="D196">
        <v>54080</v>
      </c>
      <c r="E196">
        <v>240965</v>
      </c>
      <c r="F196">
        <v>54184</v>
      </c>
      <c r="G196">
        <v>251751</v>
      </c>
      <c r="H196">
        <v>58128</v>
      </c>
      <c r="I196">
        <v>236171</v>
      </c>
      <c r="J196" s="7">
        <f t="shared" si="6"/>
        <v>63.341185242929043</v>
      </c>
      <c r="K196" s="7">
        <f t="shared" si="7"/>
        <v>64.57809665451812</v>
      </c>
      <c r="L196" s="8">
        <f t="shared" si="8"/>
        <v>60.497317354119453</v>
      </c>
      <c r="M196" s="2"/>
      <c r="N196" s="2"/>
    </row>
    <row r="197" spans="1:14" x14ac:dyDescent="0.2">
      <c r="A197" t="s">
        <v>211</v>
      </c>
      <c r="B197">
        <v>8</v>
      </c>
      <c r="C197" t="s">
        <v>218</v>
      </c>
      <c r="D197">
        <v>66759</v>
      </c>
      <c r="E197">
        <v>275300</v>
      </c>
      <c r="F197">
        <v>71521</v>
      </c>
      <c r="G197">
        <v>321444</v>
      </c>
      <c r="H197">
        <v>78619</v>
      </c>
      <c r="I197">
        <v>296254</v>
      </c>
      <c r="J197" s="7">
        <f t="shared" si="6"/>
        <v>60.966382992407745</v>
      </c>
      <c r="K197" s="7">
        <f t="shared" si="7"/>
        <v>63.599302736884965</v>
      </c>
      <c r="L197" s="8">
        <f t="shared" si="8"/>
        <v>58.05566151736722</v>
      </c>
      <c r="M197" s="2"/>
      <c r="N197" s="2"/>
    </row>
    <row r="198" spans="1:14" x14ac:dyDescent="0.2">
      <c r="A198" t="s">
        <v>220</v>
      </c>
      <c r="B198">
        <v>1</v>
      </c>
      <c r="C198" t="s">
        <v>219</v>
      </c>
      <c r="D198">
        <v>150161</v>
      </c>
      <c r="E198">
        <v>203851</v>
      </c>
      <c r="F198">
        <v>159925</v>
      </c>
      <c r="G198">
        <v>258027</v>
      </c>
      <c r="H198">
        <v>165214</v>
      </c>
      <c r="I198">
        <v>258863</v>
      </c>
      <c r="J198" s="7">
        <f t="shared" si="6"/>
        <v>15.166152559800233</v>
      </c>
      <c r="K198" s="7">
        <f t="shared" si="7"/>
        <v>23.472073348135673</v>
      </c>
      <c r="L198" s="8">
        <f t="shared" si="8"/>
        <v>22.083017942496291</v>
      </c>
      <c r="M198" s="2"/>
      <c r="N198" s="2"/>
    </row>
    <row r="199" spans="1:14" x14ac:dyDescent="0.2">
      <c r="A199" t="s">
        <v>220</v>
      </c>
      <c r="B199">
        <v>2</v>
      </c>
      <c r="C199" t="s">
        <v>221</v>
      </c>
      <c r="D199">
        <v>184625</v>
      </c>
      <c r="E199">
        <v>150805</v>
      </c>
      <c r="F199">
        <v>200838</v>
      </c>
      <c r="G199">
        <v>177040</v>
      </c>
      <c r="H199">
        <v>212763</v>
      </c>
      <c r="I199">
        <v>176789</v>
      </c>
      <c r="J199" s="7">
        <f t="shared" si="6"/>
        <v>-10.082580568225859</v>
      </c>
      <c r="K199" s="7">
        <f t="shared" si="7"/>
        <v>-6.2977998189891968</v>
      </c>
      <c r="L199" s="8">
        <f t="shared" si="8"/>
        <v>-9.2347106419682099</v>
      </c>
      <c r="M199" s="2"/>
      <c r="N199" s="2"/>
    </row>
    <row r="200" spans="1:14" x14ac:dyDescent="0.2">
      <c r="A200" t="s">
        <v>223</v>
      </c>
      <c r="B200">
        <v>1</v>
      </c>
      <c r="C200" t="s">
        <v>222</v>
      </c>
      <c r="D200">
        <v>236322</v>
      </c>
      <c r="E200">
        <v>142525</v>
      </c>
      <c r="F200">
        <v>274945</v>
      </c>
      <c r="G200">
        <v>182969</v>
      </c>
      <c r="H200">
        <v>288956</v>
      </c>
      <c r="I200">
        <v>187191</v>
      </c>
      <c r="J200" s="7">
        <f t="shared" si="6"/>
        <v>-24.758543686501412</v>
      </c>
      <c r="K200" s="7">
        <f t="shared" si="7"/>
        <v>-20.085867652004524</v>
      </c>
      <c r="L200" s="8">
        <f t="shared" si="8"/>
        <v>-21.372601318500379</v>
      </c>
      <c r="M200" s="2"/>
      <c r="N200" s="2"/>
    </row>
    <row r="201" spans="1:14" x14ac:dyDescent="0.2">
      <c r="A201" t="s">
        <v>223</v>
      </c>
      <c r="B201">
        <v>2</v>
      </c>
      <c r="C201" t="s">
        <v>224</v>
      </c>
      <c r="D201">
        <v>211963</v>
      </c>
      <c r="E201">
        <v>114270</v>
      </c>
      <c r="F201">
        <v>262132</v>
      </c>
      <c r="G201">
        <v>145226</v>
      </c>
      <c r="H201">
        <v>283937</v>
      </c>
      <c r="I201">
        <v>151091</v>
      </c>
      <c r="J201" s="7">
        <f t="shared" si="6"/>
        <v>-29.945774952258049</v>
      </c>
      <c r="K201" s="7">
        <f t="shared" si="7"/>
        <v>-28.69858944712022</v>
      </c>
      <c r="L201" s="8">
        <f t="shared" si="8"/>
        <v>-30.537344722638544</v>
      </c>
      <c r="M201" s="2"/>
      <c r="N201" s="2"/>
    </row>
    <row r="202" spans="1:14" x14ac:dyDescent="0.2">
      <c r="A202" t="s">
        <v>223</v>
      </c>
      <c r="B202">
        <v>3</v>
      </c>
      <c r="C202" t="s">
        <v>225</v>
      </c>
      <c r="D202">
        <v>166146</v>
      </c>
      <c r="E202">
        <v>166770</v>
      </c>
      <c r="F202">
        <v>186756</v>
      </c>
      <c r="G202">
        <v>222119</v>
      </c>
      <c r="H202">
        <v>192690</v>
      </c>
      <c r="I202">
        <v>226447</v>
      </c>
      <c r="J202" s="7">
        <f t="shared" si="6"/>
        <v>0.18743466820459215</v>
      </c>
      <c r="K202" s="7">
        <f t="shared" si="7"/>
        <v>8.6488535616019568</v>
      </c>
      <c r="L202" s="8">
        <f t="shared" si="8"/>
        <v>8.0539298606422243</v>
      </c>
      <c r="M202" s="2"/>
      <c r="N202" s="2"/>
    </row>
    <row r="203" spans="1:14" x14ac:dyDescent="0.2">
      <c r="A203" t="s">
        <v>223</v>
      </c>
      <c r="B203">
        <v>4</v>
      </c>
      <c r="C203" t="s">
        <v>226</v>
      </c>
      <c r="D203">
        <v>186598</v>
      </c>
      <c r="E203">
        <v>152349</v>
      </c>
      <c r="F203">
        <v>213179</v>
      </c>
      <c r="G203">
        <v>196640</v>
      </c>
      <c r="H203">
        <v>225615</v>
      </c>
      <c r="I203">
        <v>201649</v>
      </c>
      <c r="J203" s="7">
        <f t="shared" si="6"/>
        <v>-10.104529616724738</v>
      </c>
      <c r="K203" s="7">
        <f t="shared" si="7"/>
        <v>-4.03568404588367</v>
      </c>
      <c r="L203" s="8">
        <f t="shared" si="8"/>
        <v>-5.6091784002396645</v>
      </c>
      <c r="M203" s="2"/>
      <c r="N203" s="2"/>
    </row>
    <row r="204" spans="1:14" x14ac:dyDescent="0.2">
      <c r="A204" t="s">
        <v>223</v>
      </c>
      <c r="B204">
        <v>5</v>
      </c>
      <c r="C204" t="s">
        <v>227</v>
      </c>
      <c r="D204">
        <v>208366</v>
      </c>
      <c r="E204">
        <v>120173</v>
      </c>
      <c r="F204">
        <v>248409</v>
      </c>
      <c r="G204">
        <v>150403</v>
      </c>
      <c r="H204">
        <v>265209</v>
      </c>
      <c r="I204">
        <v>151102</v>
      </c>
      <c r="J204" s="7">
        <f t="shared" si="6"/>
        <v>-26.843997211898738</v>
      </c>
      <c r="K204" s="7">
        <f t="shared" si="7"/>
        <v>-24.574486224085533</v>
      </c>
      <c r="L204" s="8">
        <f t="shared" si="8"/>
        <v>-27.409076387604458</v>
      </c>
      <c r="M204" s="2"/>
      <c r="N204" s="2"/>
    </row>
    <row r="205" spans="1:14" x14ac:dyDescent="0.2">
      <c r="A205" t="s">
        <v>223</v>
      </c>
      <c r="B205">
        <v>6</v>
      </c>
      <c r="C205" t="s">
        <v>228</v>
      </c>
      <c r="D205">
        <v>145803</v>
      </c>
      <c r="E205">
        <v>227258</v>
      </c>
      <c r="F205">
        <v>164466</v>
      </c>
      <c r="G205">
        <v>286154</v>
      </c>
      <c r="H205">
        <v>171956</v>
      </c>
      <c r="I205">
        <v>280092</v>
      </c>
      <c r="J205" s="7">
        <f t="shared" si="6"/>
        <v>21.834230863049207</v>
      </c>
      <c r="K205" s="7">
        <f t="shared" si="7"/>
        <v>27.004571479295191</v>
      </c>
      <c r="L205" s="8">
        <f t="shared" si="8"/>
        <v>23.921353484585708</v>
      </c>
      <c r="M205" s="2"/>
      <c r="N205" s="2"/>
    </row>
    <row r="206" spans="1:14" x14ac:dyDescent="0.2">
      <c r="A206" t="s">
        <v>223</v>
      </c>
      <c r="B206">
        <v>7</v>
      </c>
      <c r="C206" t="s">
        <v>229</v>
      </c>
      <c r="D206">
        <v>189109</v>
      </c>
      <c r="E206">
        <v>174591</v>
      </c>
      <c r="F206">
        <v>217668</v>
      </c>
      <c r="G206">
        <v>221948</v>
      </c>
      <c r="H206">
        <v>230862</v>
      </c>
      <c r="I206">
        <v>224818</v>
      </c>
      <c r="J206" s="7">
        <f t="shared" si="6"/>
        <v>-3.991751443497388</v>
      </c>
      <c r="K206" s="7">
        <f t="shared" si="7"/>
        <v>0.97357693987479976</v>
      </c>
      <c r="L206" s="8">
        <f t="shared" si="8"/>
        <v>-1.326369382022472</v>
      </c>
      <c r="M206" s="2"/>
      <c r="N206" s="2"/>
    </row>
    <row r="207" spans="1:14" x14ac:dyDescent="0.2">
      <c r="A207" t="s">
        <v>223</v>
      </c>
      <c r="B207">
        <v>8</v>
      </c>
      <c r="C207" t="s">
        <v>230</v>
      </c>
      <c r="D207">
        <v>179029</v>
      </c>
      <c r="E207">
        <v>183280</v>
      </c>
      <c r="F207">
        <v>207103</v>
      </c>
      <c r="G207">
        <v>215756</v>
      </c>
      <c r="H207">
        <v>218035</v>
      </c>
      <c r="I207">
        <v>209472</v>
      </c>
      <c r="J207" s="7">
        <f t="shared" si="6"/>
        <v>1.1733078670416688</v>
      </c>
      <c r="K207" s="7">
        <f t="shared" si="7"/>
        <v>2.0463085804015053</v>
      </c>
      <c r="L207" s="8">
        <f t="shared" si="8"/>
        <v>-2.0030081378784441</v>
      </c>
      <c r="M207" s="2"/>
      <c r="N207" s="2"/>
    </row>
    <row r="208" spans="1:14" x14ac:dyDescent="0.2">
      <c r="A208" t="s">
        <v>223</v>
      </c>
      <c r="B208">
        <v>9</v>
      </c>
      <c r="C208" t="s">
        <v>231</v>
      </c>
      <c r="D208">
        <v>249859</v>
      </c>
      <c r="E208">
        <v>120758</v>
      </c>
      <c r="F208">
        <v>297463</v>
      </c>
      <c r="G208">
        <v>160604</v>
      </c>
      <c r="H208">
        <v>318875</v>
      </c>
      <c r="I208">
        <v>161474</v>
      </c>
      <c r="J208" s="7">
        <f t="shared" si="6"/>
        <v>-34.834073990129973</v>
      </c>
      <c r="K208" s="7">
        <f t="shared" si="7"/>
        <v>-29.877507002250763</v>
      </c>
      <c r="L208" s="8">
        <f t="shared" si="8"/>
        <v>-32.76804989705402</v>
      </c>
      <c r="M208" s="2"/>
      <c r="N208" s="2"/>
    </row>
    <row r="209" spans="1:14" x14ac:dyDescent="0.2">
      <c r="A209" t="s">
        <v>223</v>
      </c>
      <c r="B209">
        <v>10</v>
      </c>
      <c r="C209" t="s">
        <v>232</v>
      </c>
      <c r="D209">
        <v>186773</v>
      </c>
      <c r="E209">
        <v>166784</v>
      </c>
      <c r="F209">
        <v>214172</v>
      </c>
      <c r="G209">
        <v>209914</v>
      </c>
      <c r="H209">
        <v>227882</v>
      </c>
      <c r="I209">
        <v>199324</v>
      </c>
      <c r="J209" s="7">
        <f t="shared" si="6"/>
        <v>-5.6536852614995601</v>
      </c>
      <c r="K209" s="7">
        <f t="shared" si="7"/>
        <v>-1.0040416330649915</v>
      </c>
      <c r="L209" s="8">
        <f t="shared" si="8"/>
        <v>-6.6848312055542287</v>
      </c>
      <c r="M209" s="2"/>
      <c r="N209" s="2"/>
    </row>
    <row r="210" spans="1:14" x14ac:dyDescent="0.2">
      <c r="A210" t="s">
        <v>223</v>
      </c>
      <c r="B210">
        <v>11</v>
      </c>
      <c r="C210" t="s">
        <v>233</v>
      </c>
      <c r="D210">
        <v>162499</v>
      </c>
      <c r="E210">
        <v>218169</v>
      </c>
      <c r="F210">
        <v>182215</v>
      </c>
      <c r="G210">
        <v>273976</v>
      </c>
      <c r="H210">
        <v>188356</v>
      </c>
      <c r="I210">
        <v>262383</v>
      </c>
      <c r="J210" s="7">
        <f t="shared" si="6"/>
        <v>14.624292034003384</v>
      </c>
      <c r="K210" s="7">
        <f t="shared" si="7"/>
        <v>20.114601121021678</v>
      </c>
      <c r="L210" s="8">
        <f t="shared" si="8"/>
        <v>16.423473451376516</v>
      </c>
      <c r="M210" s="2"/>
      <c r="N210" s="2"/>
    </row>
    <row r="211" spans="1:14" x14ac:dyDescent="0.2">
      <c r="A211" t="s">
        <v>223</v>
      </c>
      <c r="B211">
        <v>12</v>
      </c>
      <c r="C211" t="s">
        <v>234</v>
      </c>
      <c r="D211">
        <v>85535</v>
      </c>
      <c r="E211">
        <v>250083</v>
      </c>
      <c r="F211">
        <v>97597</v>
      </c>
      <c r="G211">
        <v>285484</v>
      </c>
      <c r="H211">
        <v>106968</v>
      </c>
      <c r="I211">
        <v>247356</v>
      </c>
      <c r="J211" s="7">
        <f t="shared" si="6"/>
        <v>49.028359623142983</v>
      </c>
      <c r="K211" s="7">
        <f t="shared" si="7"/>
        <v>49.046285250377856</v>
      </c>
      <c r="L211" s="8">
        <f t="shared" si="8"/>
        <v>39.621363497815558</v>
      </c>
      <c r="M211" s="2"/>
      <c r="N211" s="2"/>
    </row>
    <row r="212" spans="1:14" x14ac:dyDescent="0.2">
      <c r="A212" t="s">
        <v>223</v>
      </c>
      <c r="B212">
        <v>13</v>
      </c>
      <c r="C212" t="s">
        <v>235</v>
      </c>
      <c r="D212">
        <v>69858</v>
      </c>
      <c r="E212">
        <v>230481</v>
      </c>
      <c r="F212">
        <v>83727</v>
      </c>
      <c r="G212">
        <v>252762</v>
      </c>
      <c r="H212">
        <v>94494</v>
      </c>
      <c r="I212">
        <v>232935</v>
      </c>
      <c r="J212" s="7">
        <f t="shared" ref="J212:J275" si="9">(E212-D212)/(E212+D212)*100</f>
        <v>53.480566959335953</v>
      </c>
      <c r="K212" s="7">
        <f t="shared" ref="K212:K275" si="10">(G212-F212)/(G212+F212)*100</f>
        <v>50.234925955974788</v>
      </c>
      <c r="L212" s="8">
        <f t="shared" ref="L212:L275" si="11">(I212-H212)/(I212+H212)*100</f>
        <v>42.281227380592433</v>
      </c>
      <c r="M212" s="2"/>
      <c r="N212" s="2"/>
    </row>
    <row r="213" spans="1:14" x14ac:dyDescent="0.2">
      <c r="A213" t="s">
        <v>237</v>
      </c>
      <c r="B213">
        <v>1</v>
      </c>
      <c r="C213" t="s">
        <v>236</v>
      </c>
      <c r="D213">
        <v>186953</v>
      </c>
      <c r="E213">
        <v>137537</v>
      </c>
      <c r="F213">
        <v>208013</v>
      </c>
      <c r="G213">
        <v>172335</v>
      </c>
      <c r="H213">
        <v>213794</v>
      </c>
      <c r="I213">
        <v>167186</v>
      </c>
      <c r="J213" s="7">
        <f t="shared" si="9"/>
        <v>-15.228820610804647</v>
      </c>
      <c r="K213" s="7">
        <f t="shared" si="10"/>
        <v>-9.3803569362794068</v>
      </c>
      <c r="L213" s="8">
        <f t="shared" si="11"/>
        <v>-12.233713055803454</v>
      </c>
      <c r="M213" s="2"/>
      <c r="N213" s="2"/>
    </row>
    <row r="214" spans="1:14" x14ac:dyDescent="0.2">
      <c r="A214" t="s">
        <v>237</v>
      </c>
      <c r="B214">
        <v>2</v>
      </c>
      <c r="C214" t="s">
        <v>238</v>
      </c>
      <c r="D214">
        <v>168041</v>
      </c>
      <c r="E214">
        <v>162916</v>
      </c>
      <c r="F214">
        <v>190902</v>
      </c>
      <c r="G214">
        <v>221033</v>
      </c>
      <c r="H214">
        <v>195780</v>
      </c>
      <c r="I214">
        <v>220555</v>
      </c>
      <c r="J214" s="7">
        <f t="shared" si="9"/>
        <v>-1.5485395383690328</v>
      </c>
      <c r="K214" s="7">
        <f t="shared" si="10"/>
        <v>7.3145035017660547</v>
      </c>
      <c r="L214" s="8">
        <f t="shared" si="11"/>
        <v>5.9507367864820395</v>
      </c>
      <c r="M214" s="2"/>
      <c r="N214" s="2"/>
    </row>
    <row r="215" spans="1:14" x14ac:dyDescent="0.2">
      <c r="A215" t="s">
        <v>237</v>
      </c>
      <c r="B215">
        <v>3</v>
      </c>
      <c r="C215" t="s">
        <v>239</v>
      </c>
      <c r="D215">
        <v>155108</v>
      </c>
      <c r="E215">
        <v>197802</v>
      </c>
      <c r="F215">
        <v>167289</v>
      </c>
      <c r="G215">
        <v>258509</v>
      </c>
      <c r="H215">
        <v>161925</v>
      </c>
      <c r="I215">
        <v>251783</v>
      </c>
      <c r="J215" s="7">
        <f t="shared" si="9"/>
        <v>12.097701963673458</v>
      </c>
      <c r="K215" s="7">
        <f t="shared" si="10"/>
        <v>21.423304008003797</v>
      </c>
      <c r="L215" s="8">
        <f t="shared" si="11"/>
        <v>21.720150444274704</v>
      </c>
      <c r="M215" s="2"/>
      <c r="N215" s="2"/>
    </row>
    <row r="216" spans="1:14" x14ac:dyDescent="0.2">
      <c r="A216" t="s">
        <v>237</v>
      </c>
      <c r="B216">
        <v>4</v>
      </c>
      <c r="C216" t="s">
        <v>240</v>
      </c>
      <c r="D216">
        <v>108265</v>
      </c>
      <c r="E216">
        <v>220138</v>
      </c>
      <c r="F216">
        <v>119664</v>
      </c>
      <c r="G216">
        <v>268894</v>
      </c>
      <c r="H216">
        <v>117085</v>
      </c>
      <c r="I216">
        <v>251495</v>
      </c>
      <c r="J216" s="7">
        <f t="shared" si="9"/>
        <v>34.065766756089317</v>
      </c>
      <c r="K216" s="7">
        <f t="shared" si="10"/>
        <v>38.406106681627968</v>
      </c>
      <c r="L216" s="8">
        <f t="shared" si="11"/>
        <v>36.466981388029737</v>
      </c>
      <c r="M216" s="2"/>
      <c r="N216" s="2"/>
    </row>
    <row r="217" spans="1:14" x14ac:dyDescent="0.2">
      <c r="A217" t="s">
        <v>237</v>
      </c>
      <c r="B217">
        <v>5</v>
      </c>
      <c r="C217" t="s">
        <v>241</v>
      </c>
      <c r="D217">
        <v>65589</v>
      </c>
      <c r="E217">
        <v>266189</v>
      </c>
      <c r="F217">
        <v>69153</v>
      </c>
      <c r="G217">
        <v>319422</v>
      </c>
      <c r="H217">
        <v>65271</v>
      </c>
      <c r="I217">
        <v>292800</v>
      </c>
      <c r="J217" s="7">
        <f t="shared" si="9"/>
        <v>60.462116234349473</v>
      </c>
      <c r="K217" s="7">
        <f t="shared" si="10"/>
        <v>64.406871260374444</v>
      </c>
      <c r="L217" s="8">
        <f t="shared" si="11"/>
        <v>63.542984491902445</v>
      </c>
      <c r="M217" s="2"/>
      <c r="N217" s="2"/>
    </row>
    <row r="218" spans="1:14" x14ac:dyDescent="0.2">
      <c r="A218" t="s">
        <v>237</v>
      </c>
      <c r="B218">
        <v>6</v>
      </c>
      <c r="C218" t="s">
        <v>242</v>
      </c>
      <c r="D218">
        <v>207993</v>
      </c>
      <c r="E218">
        <v>122274</v>
      </c>
      <c r="F218">
        <v>239008</v>
      </c>
      <c r="G218">
        <v>165851</v>
      </c>
      <c r="H218">
        <v>253253</v>
      </c>
      <c r="I218">
        <v>168603</v>
      </c>
      <c r="J218" s="7">
        <f t="shared" si="9"/>
        <v>-25.954455031837874</v>
      </c>
      <c r="K218" s="7">
        <f t="shared" si="10"/>
        <v>-18.06974773933641</v>
      </c>
      <c r="L218" s="8">
        <f t="shared" si="11"/>
        <v>-20.066088902374272</v>
      </c>
      <c r="M218" s="2"/>
      <c r="N218" s="2"/>
    </row>
    <row r="219" spans="1:14" x14ac:dyDescent="0.2">
      <c r="A219" t="s">
        <v>237</v>
      </c>
      <c r="B219">
        <v>7</v>
      </c>
      <c r="C219" t="s">
        <v>243</v>
      </c>
      <c r="D219">
        <v>230179</v>
      </c>
      <c r="E219">
        <v>106553</v>
      </c>
      <c r="F219">
        <v>259958</v>
      </c>
      <c r="G219">
        <v>128555</v>
      </c>
      <c r="H219">
        <v>269504</v>
      </c>
      <c r="I219">
        <v>123652</v>
      </c>
      <c r="J219" s="7">
        <f t="shared" si="9"/>
        <v>-36.713469465331478</v>
      </c>
      <c r="K219" s="7">
        <f t="shared" si="10"/>
        <v>-33.822034269123556</v>
      </c>
      <c r="L219" s="8">
        <f t="shared" si="11"/>
        <v>-37.097742371984658</v>
      </c>
      <c r="M219" s="2"/>
      <c r="N219" s="2"/>
    </row>
    <row r="220" spans="1:14" x14ac:dyDescent="0.2">
      <c r="A220" t="s">
        <v>237</v>
      </c>
      <c r="B220">
        <v>8</v>
      </c>
      <c r="C220" t="s">
        <v>244</v>
      </c>
      <c r="D220">
        <v>198854</v>
      </c>
      <c r="E220">
        <v>150299</v>
      </c>
      <c r="F220">
        <v>230043</v>
      </c>
      <c r="G220">
        <v>182452</v>
      </c>
      <c r="H220">
        <v>242420</v>
      </c>
      <c r="I220">
        <v>180905</v>
      </c>
      <c r="J220" s="7">
        <f t="shared" si="9"/>
        <v>-13.906510899233288</v>
      </c>
      <c r="K220" s="7">
        <f t="shared" si="10"/>
        <v>-11.537351967902641</v>
      </c>
      <c r="L220" s="8">
        <f t="shared" si="11"/>
        <v>-14.531388413157739</v>
      </c>
      <c r="M220" s="2"/>
      <c r="N220" s="2"/>
    </row>
    <row r="221" spans="1:14" x14ac:dyDescent="0.2">
      <c r="A221" t="s">
        <v>246</v>
      </c>
      <c r="B221">
        <v>1</v>
      </c>
      <c r="C221" t="s">
        <v>245</v>
      </c>
      <c r="D221">
        <v>73237</v>
      </c>
      <c r="E221">
        <v>262711</v>
      </c>
      <c r="F221">
        <v>71051</v>
      </c>
      <c r="G221">
        <v>278241</v>
      </c>
      <c r="H221">
        <v>64567</v>
      </c>
      <c r="I221">
        <v>244275</v>
      </c>
      <c r="J221" s="7">
        <f t="shared" si="9"/>
        <v>56.399799969042832</v>
      </c>
      <c r="K221" s="7">
        <f t="shared" si="10"/>
        <v>59.317132943210837</v>
      </c>
      <c r="L221" s="8">
        <f t="shared" si="11"/>
        <v>58.187681727226213</v>
      </c>
      <c r="M221" s="2"/>
      <c r="N221" s="2"/>
    </row>
    <row r="222" spans="1:14" x14ac:dyDescent="0.2">
      <c r="A222" t="s">
        <v>246</v>
      </c>
      <c r="B222">
        <v>2</v>
      </c>
      <c r="C222" t="s">
        <v>247</v>
      </c>
      <c r="D222">
        <v>225583</v>
      </c>
      <c r="E222">
        <v>158943</v>
      </c>
      <c r="F222">
        <v>232787</v>
      </c>
      <c r="G222">
        <v>198853</v>
      </c>
      <c r="H222">
        <v>230597</v>
      </c>
      <c r="I222">
        <v>196219</v>
      </c>
      <c r="J222" s="7">
        <f t="shared" si="9"/>
        <v>-17.330427591372235</v>
      </c>
      <c r="K222" s="7">
        <f t="shared" si="10"/>
        <v>-7.8616439625613932</v>
      </c>
      <c r="L222" s="8">
        <f t="shared" si="11"/>
        <v>-8.0545246663667722</v>
      </c>
      <c r="M222" s="2"/>
      <c r="N222" s="2"/>
    </row>
    <row r="223" spans="1:14" x14ac:dyDescent="0.2">
      <c r="A223" t="s">
        <v>246</v>
      </c>
      <c r="B223">
        <v>3</v>
      </c>
      <c r="C223" t="s">
        <v>248</v>
      </c>
      <c r="D223">
        <v>231224</v>
      </c>
      <c r="E223">
        <v>117884</v>
      </c>
      <c r="F223">
        <v>247385</v>
      </c>
      <c r="G223">
        <v>143326</v>
      </c>
      <c r="H223">
        <v>254882</v>
      </c>
      <c r="I223">
        <v>145961</v>
      </c>
      <c r="J223" s="7">
        <f t="shared" si="9"/>
        <v>-32.465598038429363</v>
      </c>
      <c r="K223" s="7">
        <f t="shared" si="10"/>
        <v>-26.633240425787857</v>
      </c>
      <c r="L223" s="8">
        <f t="shared" si="11"/>
        <v>-27.172982938457203</v>
      </c>
      <c r="M223" s="2"/>
      <c r="N223" s="2"/>
    </row>
    <row r="224" spans="1:14" x14ac:dyDescent="0.2">
      <c r="A224" t="s">
        <v>246</v>
      </c>
      <c r="B224">
        <v>4</v>
      </c>
      <c r="C224" t="s">
        <v>249</v>
      </c>
      <c r="D224">
        <v>229683</v>
      </c>
      <c r="E224">
        <v>89381</v>
      </c>
      <c r="F224">
        <v>256984</v>
      </c>
      <c r="G224">
        <v>109062</v>
      </c>
      <c r="H224">
        <v>265106</v>
      </c>
      <c r="I224">
        <v>106074</v>
      </c>
      <c r="J224" s="7">
        <f t="shared" si="9"/>
        <v>-43.972996013339014</v>
      </c>
      <c r="K224" s="7">
        <f t="shared" si="10"/>
        <v>-40.410768045546185</v>
      </c>
      <c r="L224" s="8">
        <f t="shared" si="11"/>
        <v>-42.844980871814215</v>
      </c>
      <c r="M224" s="2"/>
      <c r="N224" s="2"/>
    </row>
    <row r="225" spans="1:14" x14ac:dyDescent="0.2">
      <c r="A225" t="s">
        <v>246</v>
      </c>
      <c r="B225">
        <v>5</v>
      </c>
      <c r="C225" t="s">
        <v>250</v>
      </c>
      <c r="D225">
        <v>118786</v>
      </c>
      <c r="E225">
        <v>183860</v>
      </c>
      <c r="F225">
        <v>125811</v>
      </c>
      <c r="G225">
        <v>217861</v>
      </c>
      <c r="H225">
        <v>126825</v>
      </c>
      <c r="I225">
        <v>205104</v>
      </c>
      <c r="J225" s="7">
        <f t="shared" si="9"/>
        <v>21.501688441281232</v>
      </c>
      <c r="K225" s="7">
        <f t="shared" si="10"/>
        <v>26.784259410135249</v>
      </c>
      <c r="L225" s="8">
        <f t="shared" si="11"/>
        <v>23.583055412452662</v>
      </c>
      <c r="M225" s="2"/>
      <c r="N225" s="2"/>
    </row>
    <row r="226" spans="1:14" x14ac:dyDescent="0.2">
      <c r="A226" t="s">
        <v>246</v>
      </c>
      <c r="B226">
        <v>6</v>
      </c>
      <c r="C226" t="s">
        <v>251</v>
      </c>
      <c r="D226">
        <v>231035</v>
      </c>
      <c r="E226">
        <v>98119</v>
      </c>
      <c r="F226">
        <v>255587</v>
      </c>
      <c r="G226">
        <v>115579</v>
      </c>
      <c r="H226">
        <v>263648</v>
      </c>
      <c r="I226">
        <v>114786</v>
      </c>
      <c r="J226" s="7">
        <f t="shared" si="9"/>
        <v>-40.381098209348814</v>
      </c>
      <c r="K226" s="7">
        <f t="shared" si="10"/>
        <v>-37.721127473960436</v>
      </c>
      <c r="L226" s="8">
        <f t="shared" si="11"/>
        <v>-39.336317561318488</v>
      </c>
      <c r="M226" s="2"/>
      <c r="N226" s="2"/>
    </row>
    <row r="227" spans="1:14" x14ac:dyDescent="0.2">
      <c r="A227" t="s">
        <v>246</v>
      </c>
      <c r="B227">
        <v>7</v>
      </c>
      <c r="C227" t="s">
        <v>252</v>
      </c>
      <c r="D227">
        <v>232389</v>
      </c>
      <c r="E227">
        <v>82194</v>
      </c>
      <c r="F227">
        <v>254294</v>
      </c>
      <c r="G227">
        <v>103423</v>
      </c>
      <c r="H227">
        <v>265486</v>
      </c>
      <c r="I227">
        <v>105495</v>
      </c>
      <c r="J227" s="7">
        <f t="shared" si="9"/>
        <v>-47.744156550099653</v>
      </c>
      <c r="K227" s="7">
        <f t="shared" si="10"/>
        <v>-42.17607773742931</v>
      </c>
      <c r="L227" s="8">
        <f t="shared" si="11"/>
        <v>-43.12646739320882</v>
      </c>
      <c r="M227" s="2"/>
      <c r="N227" s="2"/>
    </row>
    <row r="228" spans="1:14" x14ac:dyDescent="0.2">
      <c r="A228" t="s">
        <v>246</v>
      </c>
      <c r="B228">
        <v>8</v>
      </c>
      <c r="C228" t="s">
        <v>253</v>
      </c>
      <c r="D228">
        <v>252525</v>
      </c>
      <c r="E228">
        <v>77827</v>
      </c>
      <c r="F228">
        <v>274818</v>
      </c>
      <c r="G228">
        <v>86623</v>
      </c>
      <c r="H228">
        <v>280875</v>
      </c>
      <c r="I228">
        <v>82685</v>
      </c>
      <c r="J228" s="7">
        <f t="shared" si="9"/>
        <v>-52.88238000678065</v>
      </c>
      <c r="K228" s="7">
        <f t="shared" si="10"/>
        <v>-52.067972366167645</v>
      </c>
      <c r="L228" s="8">
        <f t="shared" si="11"/>
        <v>-54.513697876554076</v>
      </c>
      <c r="M228" s="2"/>
      <c r="N228" s="2"/>
    </row>
    <row r="229" spans="1:14" x14ac:dyDescent="0.2">
      <c r="A229" t="s">
        <v>255</v>
      </c>
      <c r="B229">
        <v>1</v>
      </c>
      <c r="C229" t="s">
        <v>254</v>
      </c>
      <c r="D229">
        <v>198328</v>
      </c>
      <c r="E229">
        <v>96631</v>
      </c>
      <c r="F229">
        <v>217327</v>
      </c>
      <c r="G229">
        <v>111578</v>
      </c>
      <c r="H229">
        <v>219880</v>
      </c>
      <c r="I229">
        <v>99871</v>
      </c>
      <c r="J229" s="7">
        <f t="shared" si="9"/>
        <v>-34.478351228475823</v>
      </c>
      <c r="K229" s="7">
        <f t="shared" si="10"/>
        <v>-32.151837156625774</v>
      </c>
      <c r="L229" s="8">
        <f t="shared" si="11"/>
        <v>-37.532017100806563</v>
      </c>
      <c r="M229" s="2"/>
      <c r="N229" s="2"/>
    </row>
    <row r="230" spans="1:14" x14ac:dyDescent="0.2">
      <c r="A230" t="s">
        <v>255</v>
      </c>
      <c r="B230">
        <v>2</v>
      </c>
      <c r="C230" t="s">
        <v>256</v>
      </c>
      <c r="D230">
        <v>117988</v>
      </c>
      <c r="E230">
        <v>201323</v>
      </c>
      <c r="F230">
        <v>121401</v>
      </c>
      <c r="G230">
        <v>208003</v>
      </c>
      <c r="H230">
        <v>112641</v>
      </c>
      <c r="I230">
        <v>171061</v>
      </c>
      <c r="J230" s="7">
        <f t="shared" si="9"/>
        <v>26.098380575677005</v>
      </c>
      <c r="K230" s="7">
        <f t="shared" si="10"/>
        <v>26.290512562081819</v>
      </c>
      <c r="L230" s="8">
        <f t="shared" si="11"/>
        <v>20.592029664930102</v>
      </c>
      <c r="M230" s="2"/>
      <c r="N230" s="2"/>
    </row>
    <row r="231" spans="1:14" x14ac:dyDescent="0.2">
      <c r="A231" t="s">
        <v>255</v>
      </c>
      <c r="B231">
        <v>3</v>
      </c>
      <c r="C231" t="s">
        <v>257</v>
      </c>
      <c r="D231">
        <v>199360</v>
      </c>
      <c r="E231">
        <v>112444</v>
      </c>
      <c r="F231">
        <v>212074</v>
      </c>
      <c r="G231">
        <v>128671</v>
      </c>
      <c r="H231">
        <v>207389</v>
      </c>
      <c r="I231">
        <v>112877</v>
      </c>
      <c r="J231" s="7">
        <f t="shared" si="9"/>
        <v>-27.875203653577245</v>
      </c>
      <c r="K231" s="7">
        <f t="shared" si="10"/>
        <v>-24.476661433036433</v>
      </c>
      <c r="L231" s="8">
        <f t="shared" si="11"/>
        <v>-29.510469422292719</v>
      </c>
      <c r="M231" s="2"/>
      <c r="N231" s="2"/>
    </row>
    <row r="232" spans="1:14" x14ac:dyDescent="0.2">
      <c r="A232" t="s">
        <v>255</v>
      </c>
      <c r="B232">
        <v>4</v>
      </c>
      <c r="C232" t="s">
        <v>258</v>
      </c>
      <c r="D232">
        <v>185012</v>
      </c>
      <c r="E232">
        <v>74709</v>
      </c>
      <c r="F232">
        <v>205945</v>
      </c>
      <c r="G232">
        <v>91121</v>
      </c>
      <c r="H232">
        <v>207834</v>
      </c>
      <c r="I232">
        <v>82858</v>
      </c>
      <c r="J232" s="7">
        <f t="shared" si="9"/>
        <v>-42.469804135976688</v>
      </c>
      <c r="K232" s="7">
        <f t="shared" si="10"/>
        <v>-38.65268997461844</v>
      </c>
      <c r="L232" s="8">
        <f t="shared" si="11"/>
        <v>-42.992583215224364</v>
      </c>
      <c r="M232" s="2"/>
      <c r="N232" s="2"/>
    </row>
    <row r="233" spans="1:14" x14ac:dyDescent="0.2">
      <c r="A233" t="s">
        <v>260</v>
      </c>
      <c r="B233">
        <v>1</v>
      </c>
      <c r="C233" t="s">
        <v>259</v>
      </c>
      <c r="D233">
        <v>130996</v>
      </c>
      <c r="E233">
        <v>101107</v>
      </c>
      <c r="F233">
        <v>165090</v>
      </c>
      <c r="G233">
        <v>143195</v>
      </c>
      <c r="H233">
        <v>174602</v>
      </c>
      <c r="I233">
        <v>137408</v>
      </c>
      <c r="J233" s="7">
        <f t="shared" si="9"/>
        <v>-12.877472501432555</v>
      </c>
      <c r="K233" s="7">
        <f t="shared" si="10"/>
        <v>-7.1021943980407745</v>
      </c>
      <c r="L233" s="8">
        <f t="shared" si="11"/>
        <v>-11.920771770135573</v>
      </c>
      <c r="M233" s="2"/>
      <c r="N233" s="2"/>
    </row>
    <row r="234" spans="1:14" x14ac:dyDescent="0.2">
      <c r="A234" t="s">
        <v>260</v>
      </c>
      <c r="B234">
        <v>2</v>
      </c>
      <c r="C234" t="s">
        <v>261</v>
      </c>
      <c r="D234">
        <v>147876</v>
      </c>
      <c r="E234">
        <v>75688</v>
      </c>
      <c r="F234">
        <v>178202</v>
      </c>
      <c r="G234">
        <v>100846</v>
      </c>
      <c r="H234">
        <v>177477</v>
      </c>
      <c r="I234">
        <v>94498</v>
      </c>
      <c r="J234" s="7">
        <f t="shared" si="9"/>
        <v>-32.28963518276646</v>
      </c>
      <c r="K234" s="7">
        <f t="shared" si="10"/>
        <v>-27.721395602190302</v>
      </c>
      <c r="L234" s="8">
        <f t="shared" si="11"/>
        <v>-30.509789502711648</v>
      </c>
      <c r="M234" s="2"/>
      <c r="N234" s="2"/>
    </row>
    <row r="235" spans="1:14" x14ac:dyDescent="0.2">
      <c r="A235" t="s">
        <v>263</v>
      </c>
      <c r="B235">
        <v>1</v>
      </c>
      <c r="C235" t="s">
        <v>262</v>
      </c>
      <c r="D235">
        <v>191843</v>
      </c>
      <c r="E235">
        <v>174505</v>
      </c>
      <c r="F235">
        <v>218891</v>
      </c>
      <c r="G235">
        <v>190436</v>
      </c>
      <c r="H235">
        <v>230368</v>
      </c>
      <c r="I235">
        <v>182065</v>
      </c>
      <c r="J235" s="7">
        <f t="shared" si="9"/>
        <v>-4.7326585650801976</v>
      </c>
      <c r="K235" s="7">
        <f t="shared" si="10"/>
        <v>-6.9516547894470673</v>
      </c>
      <c r="L235" s="8">
        <f t="shared" si="11"/>
        <v>-11.711720449139618</v>
      </c>
      <c r="M235" s="2"/>
      <c r="N235" s="2"/>
    </row>
    <row r="236" spans="1:14" x14ac:dyDescent="0.2">
      <c r="A236" t="s">
        <v>263</v>
      </c>
      <c r="B236">
        <v>2</v>
      </c>
      <c r="C236" t="s">
        <v>264</v>
      </c>
      <c r="D236">
        <v>116605</v>
      </c>
      <c r="E236">
        <v>221522</v>
      </c>
      <c r="F236">
        <v>129367</v>
      </c>
      <c r="G236">
        <v>274360</v>
      </c>
      <c r="H236">
        <v>132620</v>
      </c>
      <c r="I236">
        <v>271772</v>
      </c>
      <c r="J236" s="7">
        <f t="shared" si="9"/>
        <v>31.028873766365894</v>
      </c>
      <c r="K236" s="7">
        <f t="shared" si="10"/>
        <v>35.913624800917454</v>
      </c>
      <c r="L236" s="8">
        <f t="shared" si="11"/>
        <v>34.410176264614535</v>
      </c>
      <c r="M236" s="2"/>
      <c r="N236" s="2"/>
    </row>
    <row r="237" spans="1:14" x14ac:dyDescent="0.2">
      <c r="A237" t="s">
        <v>263</v>
      </c>
      <c r="B237">
        <v>3</v>
      </c>
      <c r="C237" t="s">
        <v>265</v>
      </c>
      <c r="D237">
        <v>159872</v>
      </c>
      <c r="E237">
        <v>136203</v>
      </c>
      <c r="F237">
        <v>182097</v>
      </c>
      <c r="G237">
        <v>153774</v>
      </c>
      <c r="H237">
        <v>194722</v>
      </c>
      <c r="I237">
        <v>147604</v>
      </c>
      <c r="J237" s="7">
        <f t="shared" si="9"/>
        <v>-7.9942582116017906</v>
      </c>
      <c r="K237" s="7">
        <f t="shared" si="10"/>
        <v>-8.4327018408853398</v>
      </c>
      <c r="L237" s="8">
        <f t="shared" si="11"/>
        <v>-13.76407284284571</v>
      </c>
      <c r="M237" s="2"/>
      <c r="N237" s="2"/>
    </row>
    <row r="238" spans="1:14" x14ac:dyDescent="0.2">
      <c r="A238" t="s">
        <v>263</v>
      </c>
      <c r="B238">
        <v>4</v>
      </c>
      <c r="C238" t="s">
        <v>266</v>
      </c>
      <c r="D238">
        <v>92998</v>
      </c>
      <c r="E238">
        <v>246910</v>
      </c>
      <c r="F238">
        <v>109939</v>
      </c>
      <c r="G238">
        <v>303334</v>
      </c>
      <c r="H238">
        <v>115447</v>
      </c>
      <c r="I238">
        <v>312412</v>
      </c>
      <c r="J238" s="7">
        <f t="shared" si="9"/>
        <v>45.280487661367189</v>
      </c>
      <c r="K238" s="7">
        <f t="shared" si="10"/>
        <v>46.795943601445053</v>
      </c>
      <c r="L238" s="8">
        <f t="shared" si="11"/>
        <v>46.035025557485056</v>
      </c>
      <c r="M238" s="2"/>
      <c r="N238" s="2"/>
    </row>
    <row r="239" spans="1:14" x14ac:dyDescent="0.2">
      <c r="A239" t="s">
        <v>263</v>
      </c>
      <c r="B239">
        <v>5</v>
      </c>
      <c r="C239" t="s">
        <v>267</v>
      </c>
      <c r="D239">
        <v>199157</v>
      </c>
      <c r="E239">
        <v>148539</v>
      </c>
      <c r="F239">
        <v>228735</v>
      </c>
      <c r="G239">
        <v>167125</v>
      </c>
      <c r="H239">
        <v>237629</v>
      </c>
      <c r="I239">
        <v>165404</v>
      </c>
      <c r="J239" s="7">
        <f t="shared" si="9"/>
        <v>-14.558119736781554</v>
      </c>
      <c r="K239" s="7">
        <f t="shared" si="10"/>
        <v>-15.563583084929014</v>
      </c>
      <c r="L239" s="8">
        <f t="shared" si="11"/>
        <v>-17.920368803547106</v>
      </c>
      <c r="M239" s="2"/>
      <c r="N239" s="2"/>
    </row>
    <row r="240" spans="1:14" x14ac:dyDescent="0.2">
      <c r="A240" t="s">
        <v>263</v>
      </c>
      <c r="B240">
        <v>6</v>
      </c>
      <c r="C240" t="s">
        <v>268</v>
      </c>
      <c r="D240">
        <v>189948</v>
      </c>
      <c r="E240">
        <v>125701</v>
      </c>
      <c r="F240">
        <v>218933</v>
      </c>
      <c r="G240">
        <v>157036</v>
      </c>
      <c r="H240">
        <v>226292</v>
      </c>
      <c r="I240">
        <v>159349</v>
      </c>
      <c r="J240" s="7">
        <f t="shared" si="9"/>
        <v>-20.353937443172637</v>
      </c>
      <c r="K240" s="7">
        <f t="shared" si="10"/>
        <v>-16.463325433745869</v>
      </c>
      <c r="L240" s="8">
        <f t="shared" si="11"/>
        <v>-17.358890781841144</v>
      </c>
      <c r="M240" s="2"/>
      <c r="N240" s="2"/>
    </row>
    <row r="241" spans="1:14" x14ac:dyDescent="0.2">
      <c r="A241" t="s">
        <v>263</v>
      </c>
      <c r="B241">
        <v>7</v>
      </c>
      <c r="C241" t="s">
        <v>269</v>
      </c>
      <c r="D241">
        <v>188896</v>
      </c>
      <c r="E241">
        <v>145404</v>
      </c>
      <c r="F241">
        <v>227833</v>
      </c>
      <c r="G241">
        <v>182076</v>
      </c>
      <c r="H241">
        <v>249694</v>
      </c>
      <c r="I241">
        <v>188294</v>
      </c>
      <c r="J241" s="7">
        <f t="shared" si="9"/>
        <v>-13.009871373018248</v>
      </c>
      <c r="K241" s="7">
        <f t="shared" si="10"/>
        <v>-11.162721482085049</v>
      </c>
      <c r="L241" s="8">
        <f t="shared" si="11"/>
        <v>-14.018648912755602</v>
      </c>
      <c r="M241" s="2"/>
      <c r="N241" s="2"/>
    </row>
    <row r="242" spans="1:14" x14ac:dyDescent="0.2">
      <c r="A242" t="s">
        <v>263</v>
      </c>
      <c r="B242">
        <v>8</v>
      </c>
      <c r="C242" t="s">
        <v>270</v>
      </c>
      <c r="D242">
        <v>194792</v>
      </c>
      <c r="E242">
        <v>125654</v>
      </c>
      <c r="F242">
        <v>231187</v>
      </c>
      <c r="G242">
        <v>160781</v>
      </c>
      <c r="H242">
        <v>241622</v>
      </c>
      <c r="I242">
        <v>162358</v>
      </c>
      <c r="J242" s="7">
        <f t="shared" si="9"/>
        <v>-21.57555407151283</v>
      </c>
      <c r="K242" s="7">
        <f t="shared" si="10"/>
        <v>-17.962180586170302</v>
      </c>
      <c r="L242" s="8">
        <f t="shared" si="11"/>
        <v>-19.620773305609188</v>
      </c>
      <c r="M242" s="2"/>
      <c r="N242" s="2"/>
    </row>
    <row r="243" spans="1:14" x14ac:dyDescent="0.2">
      <c r="A243" t="s">
        <v>263</v>
      </c>
      <c r="B243">
        <v>9</v>
      </c>
      <c r="C243" t="s">
        <v>271</v>
      </c>
      <c r="D243">
        <v>178638</v>
      </c>
      <c r="E243">
        <v>126298</v>
      </c>
      <c r="F243">
        <v>209219</v>
      </c>
      <c r="G243">
        <v>157604</v>
      </c>
      <c r="H243">
        <v>219095</v>
      </c>
      <c r="I243">
        <v>158552</v>
      </c>
      <c r="J243" s="7">
        <f t="shared" si="9"/>
        <v>-17.164257417949997</v>
      </c>
      <c r="K243" s="7">
        <f t="shared" si="10"/>
        <v>-14.070818896306939</v>
      </c>
      <c r="L243" s="8">
        <f t="shared" si="11"/>
        <v>-16.03163801115857</v>
      </c>
      <c r="M243" s="2"/>
      <c r="N243" s="2"/>
    </row>
    <row r="244" spans="1:14" x14ac:dyDescent="0.2">
      <c r="A244" t="s">
        <v>263</v>
      </c>
      <c r="B244">
        <v>10</v>
      </c>
      <c r="C244" t="s">
        <v>272</v>
      </c>
      <c r="D244">
        <v>192722</v>
      </c>
      <c r="E244">
        <v>134426</v>
      </c>
      <c r="F244">
        <v>227817</v>
      </c>
      <c r="G244">
        <v>164108</v>
      </c>
      <c r="H244">
        <v>242192</v>
      </c>
      <c r="I244">
        <v>168702</v>
      </c>
      <c r="J244" s="7">
        <f t="shared" si="9"/>
        <v>-17.819457860051109</v>
      </c>
      <c r="K244" s="7">
        <f t="shared" si="10"/>
        <v>-16.255406008802705</v>
      </c>
      <c r="L244" s="8">
        <f t="shared" si="11"/>
        <v>-17.885391366143093</v>
      </c>
      <c r="M244" s="2"/>
      <c r="N244" s="2"/>
    </row>
    <row r="245" spans="1:14" x14ac:dyDescent="0.2">
      <c r="A245" t="s">
        <v>263</v>
      </c>
      <c r="B245">
        <v>11</v>
      </c>
      <c r="C245" t="s">
        <v>273</v>
      </c>
      <c r="D245">
        <v>207561</v>
      </c>
      <c r="E245">
        <v>148019</v>
      </c>
      <c r="F245">
        <v>237270</v>
      </c>
      <c r="G245">
        <v>189678</v>
      </c>
      <c r="H245">
        <v>238078</v>
      </c>
      <c r="I245">
        <v>196314</v>
      </c>
      <c r="J245" s="7">
        <f t="shared" si="9"/>
        <v>-16.745036278755833</v>
      </c>
      <c r="K245" s="7">
        <f t="shared" si="10"/>
        <v>-11.147024930436492</v>
      </c>
      <c r="L245" s="8">
        <f t="shared" si="11"/>
        <v>-9.6143575388128699</v>
      </c>
      <c r="M245" s="2"/>
      <c r="N245" s="2"/>
    </row>
    <row r="246" spans="1:14" x14ac:dyDescent="0.2">
      <c r="A246" t="s">
        <v>263</v>
      </c>
      <c r="B246">
        <v>12</v>
      </c>
      <c r="C246" t="s">
        <v>274</v>
      </c>
      <c r="D246">
        <v>73884</v>
      </c>
      <c r="E246">
        <v>213377</v>
      </c>
      <c r="F246">
        <v>85342</v>
      </c>
      <c r="G246">
        <v>262589</v>
      </c>
      <c r="H246">
        <v>91834</v>
      </c>
      <c r="I246">
        <v>254946</v>
      </c>
      <c r="J246" s="7">
        <f t="shared" si="9"/>
        <v>48.559672214466978</v>
      </c>
      <c r="K246" s="7">
        <f t="shared" si="10"/>
        <v>50.943146773354485</v>
      </c>
      <c r="L246" s="8">
        <f t="shared" si="11"/>
        <v>47.036161254974331</v>
      </c>
      <c r="M246" s="2"/>
      <c r="N246" s="2"/>
    </row>
    <row r="247" spans="1:14" x14ac:dyDescent="0.2">
      <c r="A247" t="s">
        <v>263</v>
      </c>
      <c r="B247">
        <v>13</v>
      </c>
      <c r="C247" t="s">
        <v>275</v>
      </c>
      <c r="D247">
        <v>182050</v>
      </c>
      <c r="E247">
        <v>119692</v>
      </c>
      <c r="F247">
        <v>225136</v>
      </c>
      <c r="G247">
        <v>158090</v>
      </c>
      <c r="H247">
        <v>244879</v>
      </c>
      <c r="I247">
        <v>174774</v>
      </c>
      <c r="J247" s="7">
        <f t="shared" si="9"/>
        <v>-20.665999429976605</v>
      </c>
      <c r="K247" s="7">
        <f t="shared" si="10"/>
        <v>-17.495159514229204</v>
      </c>
      <c r="L247" s="8">
        <f t="shared" si="11"/>
        <v>-16.705468565695945</v>
      </c>
      <c r="M247" s="2"/>
      <c r="N247" s="2"/>
    </row>
    <row r="248" spans="1:14" x14ac:dyDescent="0.2">
      <c r="A248" t="s">
        <v>263</v>
      </c>
      <c r="B248">
        <v>14</v>
      </c>
      <c r="C248" t="s">
        <v>276</v>
      </c>
      <c r="D248">
        <v>193665</v>
      </c>
      <c r="E248">
        <v>123066</v>
      </c>
      <c r="F248">
        <v>227009</v>
      </c>
      <c r="G248">
        <v>163301</v>
      </c>
      <c r="H248">
        <v>232469</v>
      </c>
      <c r="I248">
        <v>171063</v>
      </c>
      <c r="J248" s="7">
        <f t="shared" si="9"/>
        <v>-22.289892684959792</v>
      </c>
      <c r="K248" s="7">
        <f t="shared" si="10"/>
        <v>-16.322410391739901</v>
      </c>
      <c r="L248" s="8">
        <f t="shared" si="11"/>
        <v>-15.217132718099185</v>
      </c>
      <c r="M248" s="2"/>
      <c r="N248" s="2"/>
    </row>
    <row r="249" spans="1:14" x14ac:dyDescent="0.2">
      <c r="A249" t="s">
        <v>278</v>
      </c>
      <c r="B249">
        <v>1</v>
      </c>
      <c r="C249" t="s">
        <v>277</v>
      </c>
      <c r="D249">
        <v>216794</v>
      </c>
      <c r="E249">
        <v>93758</v>
      </c>
      <c r="F249">
        <v>235595</v>
      </c>
      <c r="G249">
        <v>114902</v>
      </c>
      <c r="H249">
        <v>246505</v>
      </c>
      <c r="I249">
        <v>112327</v>
      </c>
      <c r="J249" s="7">
        <f t="shared" si="9"/>
        <v>-39.61848579303949</v>
      </c>
      <c r="K249" s="7">
        <f t="shared" si="10"/>
        <v>-34.434816845793257</v>
      </c>
      <c r="L249" s="8">
        <f t="shared" si="11"/>
        <v>-37.392986132786369</v>
      </c>
      <c r="M249" s="2"/>
      <c r="N249" s="2"/>
    </row>
    <row r="250" spans="1:14" x14ac:dyDescent="0.2">
      <c r="A250" t="s">
        <v>280</v>
      </c>
      <c r="B250">
        <v>1</v>
      </c>
      <c r="C250" t="s">
        <v>279</v>
      </c>
      <c r="D250">
        <v>151699</v>
      </c>
      <c r="E250">
        <v>101965</v>
      </c>
      <c r="F250">
        <v>171823</v>
      </c>
      <c r="G250">
        <v>136852</v>
      </c>
      <c r="H250">
        <v>177666</v>
      </c>
      <c r="I250">
        <v>136153</v>
      </c>
      <c r="J250" s="7">
        <f t="shared" si="9"/>
        <v>-19.606250788444555</v>
      </c>
      <c r="K250" s="7">
        <f t="shared" si="10"/>
        <v>-11.329391755082206</v>
      </c>
      <c r="L250" s="8">
        <f t="shared" si="11"/>
        <v>-13.228325882116762</v>
      </c>
      <c r="M250" s="2"/>
      <c r="N250" s="2"/>
    </row>
    <row r="251" spans="1:14" x14ac:dyDescent="0.2">
      <c r="A251" t="s">
        <v>280</v>
      </c>
      <c r="B251">
        <v>2</v>
      </c>
      <c r="C251" t="s">
        <v>281</v>
      </c>
      <c r="D251">
        <v>127552</v>
      </c>
      <c r="E251">
        <v>122433</v>
      </c>
      <c r="F251">
        <v>143565</v>
      </c>
      <c r="G251">
        <v>163349</v>
      </c>
      <c r="H251">
        <v>148905</v>
      </c>
      <c r="I251">
        <v>163541</v>
      </c>
      <c r="J251" s="7">
        <f t="shared" si="9"/>
        <v>-2.0477228633718023</v>
      </c>
      <c r="K251" s="7">
        <f t="shared" si="10"/>
        <v>6.4461054236691711</v>
      </c>
      <c r="L251" s="8">
        <f t="shared" si="11"/>
        <v>4.6843294521293277</v>
      </c>
      <c r="M251" s="2"/>
      <c r="N251" s="2"/>
    </row>
    <row r="252" spans="1:14" x14ac:dyDescent="0.2">
      <c r="A252" t="s">
        <v>280</v>
      </c>
      <c r="B252">
        <v>3</v>
      </c>
      <c r="C252" t="s">
        <v>282</v>
      </c>
      <c r="D252">
        <v>216687</v>
      </c>
      <c r="E252">
        <v>60068</v>
      </c>
      <c r="F252">
        <v>241462</v>
      </c>
      <c r="G252">
        <v>74342</v>
      </c>
      <c r="H252">
        <v>238245</v>
      </c>
      <c r="I252">
        <v>70301</v>
      </c>
      <c r="J252" s="7">
        <f t="shared" si="9"/>
        <v>-56.591208830915427</v>
      </c>
      <c r="K252" s="7">
        <f t="shared" si="10"/>
        <v>-52.91889906397639</v>
      </c>
      <c r="L252" s="8">
        <f t="shared" si="11"/>
        <v>-54.430781795907258</v>
      </c>
      <c r="M252" s="2"/>
      <c r="N252" s="2"/>
    </row>
    <row r="253" spans="1:14" x14ac:dyDescent="0.2">
      <c r="A253" t="s">
        <v>284</v>
      </c>
      <c r="B253">
        <v>1</v>
      </c>
      <c r="C253" t="s">
        <v>283</v>
      </c>
      <c r="D253">
        <v>176898</v>
      </c>
      <c r="E253">
        <v>170756</v>
      </c>
      <c r="F253">
        <v>186376</v>
      </c>
      <c r="G253">
        <v>210383</v>
      </c>
      <c r="H253">
        <v>199942</v>
      </c>
      <c r="I253">
        <v>208186</v>
      </c>
      <c r="J253" s="7">
        <f t="shared" si="9"/>
        <v>-1.7666990743670432</v>
      </c>
      <c r="K253" s="7">
        <f t="shared" si="10"/>
        <v>6.05077641590991</v>
      </c>
      <c r="L253" s="8">
        <f t="shared" si="11"/>
        <v>2.0199545240708794</v>
      </c>
      <c r="M253" s="2"/>
      <c r="N253" s="2"/>
    </row>
    <row r="254" spans="1:14" x14ac:dyDescent="0.2">
      <c r="A254" t="s">
        <v>284</v>
      </c>
      <c r="B254">
        <v>2</v>
      </c>
      <c r="C254" t="s">
        <v>285</v>
      </c>
      <c r="D254">
        <v>168893</v>
      </c>
      <c r="E254">
        <v>177766</v>
      </c>
      <c r="F254">
        <v>179283</v>
      </c>
      <c r="G254">
        <v>214547</v>
      </c>
      <c r="H254">
        <v>195581</v>
      </c>
      <c r="I254">
        <v>210302</v>
      </c>
      <c r="J254" s="7">
        <f t="shared" si="9"/>
        <v>2.559575836773313</v>
      </c>
      <c r="K254" s="7">
        <f t="shared" si="10"/>
        <v>8.954117258715689</v>
      </c>
      <c r="L254" s="8">
        <f t="shared" si="11"/>
        <v>3.626907261452192</v>
      </c>
      <c r="M254" s="2"/>
      <c r="N254" s="2"/>
    </row>
    <row r="255" spans="1:14" x14ac:dyDescent="0.2">
      <c r="A255" t="s">
        <v>287</v>
      </c>
      <c r="B255">
        <v>1</v>
      </c>
      <c r="C255" t="s">
        <v>286</v>
      </c>
      <c r="D255">
        <v>124323</v>
      </c>
      <c r="E255">
        <v>203479</v>
      </c>
      <c r="F255">
        <v>149353</v>
      </c>
      <c r="G255">
        <v>247687</v>
      </c>
      <c r="H255">
        <v>150098</v>
      </c>
      <c r="I255">
        <v>220600</v>
      </c>
      <c r="J255" s="7">
        <f t="shared" si="9"/>
        <v>24.147503675999538</v>
      </c>
      <c r="K255" s="7">
        <f t="shared" si="10"/>
        <v>24.76677412855128</v>
      </c>
      <c r="L255" s="8">
        <f t="shared" si="11"/>
        <v>19.018716043787663</v>
      </c>
      <c r="M255" s="2"/>
      <c r="N255" s="2"/>
    </row>
    <row r="256" spans="1:14" x14ac:dyDescent="0.2">
      <c r="A256" t="s">
        <v>287</v>
      </c>
      <c r="B256">
        <v>2</v>
      </c>
      <c r="C256" t="s">
        <v>288</v>
      </c>
      <c r="D256">
        <v>177713</v>
      </c>
      <c r="E256">
        <v>153448</v>
      </c>
      <c r="F256">
        <v>212783</v>
      </c>
      <c r="G256">
        <v>192128</v>
      </c>
      <c r="H256">
        <v>214917</v>
      </c>
      <c r="I256">
        <v>166360</v>
      </c>
      <c r="J256" s="7">
        <f t="shared" si="9"/>
        <v>-7.3272516993244983</v>
      </c>
      <c r="K256" s="7">
        <f t="shared" si="10"/>
        <v>-5.1011209870811118</v>
      </c>
      <c r="L256" s="8">
        <f t="shared" si="11"/>
        <v>-12.73536038103531</v>
      </c>
      <c r="M256" s="2"/>
      <c r="N256" s="2"/>
    </row>
    <row r="257" spans="1:14" x14ac:dyDescent="0.2">
      <c r="A257" t="s">
        <v>287</v>
      </c>
      <c r="B257">
        <v>3</v>
      </c>
      <c r="C257" t="s">
        <v>289</v>
      </c>
      <c r="D257">
        <v>160594</v>
      </c>
      <c r="E257">
        <v>195562</v>
      </c>
      <c r="F257">
        <v>186295</v>
      </c>
      <c r="G257">
        <v>248467</v>
      </c>
      <c r="H257">
        <v>179400</v>
      </c>
      <c r="I257">
        <v>212712</v>
      </c>
      <c r="J257" s="7">
        <f t="shared" si="9"/>
        <v>9.8181695661451727</v>
      </c>
      <c r="K257" s="7">
        <f t="shared" si="10"/>
        <v>14.300237831273202</v>
      </c>
      <c r="L257" s="8">
        <f t="shared" si="11"/>
        <v>8.4955318888480846</v>
      </c>
      <c r="M257" s="2"/>
      <c r="N257" s="2"/>
    </row>
    <row r="258" spans="1:14" x14ac:dyDescent="0.2">
      <c r="A258" t="s">
        <v>287</v>
      </c>
      <c r="B258">
        <v>4</v>
      </c>
      <c r="C258" t="s">
        <v>290</v>
      </c>
      <c r="D258">
        <v>217833</v>
      </c>
      <c r="E258">
        <v>120189</v>
      </c>
      <c r="F258">
        <v>259744</v>
      </c>
      <c r="G258">
        <v>163386</v>
      </c>
      <c r="H258">
        <v>268072</v>
      </c>
      <c r="I258">
        <v>142650</v>
      </c>
      <c r="J258" s="7">
        <f t="shared" si="9"/>
        <v>-28.886877185508634</v>
      </c>
      <c r="K258" s="7">
        <f t="shared" si="10"/>
        <v>-22.772670337721269</v>
      </c>
      <c r="L258" s="8">
        <f t="shared" si="11"/>
        <v>-30.536956871070942</v>
      </c>
      <c r="M258" s="2"/>
      <c r="N258" s="2"/>
    </row>
    <row r="259" spans="1:14" x14ac:dyDescent="0.2">
      <c r="A259" t="s">
        <v>287</v>
      </c>
      <c r="B259">
        <v>5</v>
      </c>
      <c r="C259" t="s">
        <v>291</v>
      </c>
      <c r="D259">
        <v>162348</v>
      </c>
      <c r="E259">
        <v>190412</v>
      </c>
      <c r="F259">
        <v>186701</v>
      </c>
      <c r="G259">
        <v>240328</v>
      </c>
      <c r="H259">
        <v>194529</v>
      </c>
      <c r="I259">
        <v>200624</v>
      </c>
      <c r="J259" s="7">
        <f t="shared" si="9"/>
        <v>7.9555505159315114</v>
      </c>
      <c r="K259" s="7">
        <f t="shared" si="10"/>
        <v>12.558163497092703</v>
      </c>
      <c r="L259" s="8">
        <f t="shared" si="11"/>
        <v>1.5424405230379119</v>
      </c>
      <c r="M259" s="2"/>
      <c r="N259" s="2"/>
    </row>
    <row r="260" spans="1:14" x14ac:dyDescent="0.2">
      <c r="A260" t="s">
        <v>287</v>
      </c>
      <c r="B260">
        <v>6</v>
      </c>
      <c r="C260" t="s">
        <v>292</v>
      </c>
      <c r="D260">
        <v>113106</v>
      </c>
      <c r="E260">
        <v>168269</v>
      </c>
      <c r="F260">
        <v>131969</v>
      </c>
      <c r="G260">
        <v>197804</v>
      </c>
      <c r="H260">
        <v>146484</v>
      </c>
      <c r="I260">
        <v>167151</v>
      </c>
      <c r="J260" s="7">
        <f t="shared" si="9"/>
        <v>19.604797867614394</v>
      </c>
      <c r="K260" s="7">
        <f t="shared" si="10"/>
        <v>19.963732628201825</v>
      </c>
      <c r="L260" s="8">
        <f t="shared" si="11"/>
        <v>6.5895069108996136</v>
      </c>
      <c r="M260" s="2"/>
      <c r="N260" s="2"/>
    </row>
    <row r="261" spans="1:14" x14ac:dyDescent="0.2">
      <c r="A261" t="s">
        <v>287</v>
      </c>
      <c r="B261">
        <v>7</v>
      </c>
      <c r="C261" t="s">
        <v>293</v>
      </c>
      <c r="D261">
        <v>197197</v>
      </c>
      <c r="E261">
        <v>175266</v>
      </c>
      <c r="F261">
        <v>218653</v>
      </c>
      <c r="G261">
        <v>235724</v>
      </c>
      <c r="H261">
        <v>221591</v>
      </c>
      <c r="I261">
        <v>216349</v>
      </c>
      <c r="J261" s="7">
        <f t="shared" si="9"/>
        <v>-5.8881016369411192</v>
      </c>
      <c r="K261" s="7">
        <f t="shared" si="10"/>
        <v>3.7570123487764571</v>
      </c>
      <c r="L261" s="8">
        <f t="shared" si="11"/>
        <v>-1.1969676211353153</v>
      </c>
      <c r="M261" s="2"/>
      <c r="N261" s="2"/>
    </row>
    <row r="262" spans="1:14" x14ac:dyDescent="0.2">
      <c r="A262" t="s">
        <v>287</v>
      </c>
      <c r="B262">
        <v>8</v>
      </c>
      <c r="C262" t="s">
        <v>294</v>
      </c>
      <c r="D262">
        <v>46353</v>
      </c>
      <c r="E262">
        <v>163484</v>
      </c>
      <c r="F262">
        <v>64900</v>
      </c>
      <c r="G262">
        <v>172224</v>
      </c>
      <c r="H262">
        <v>81523</v>
      </c>
      <c r="I262">
        <v>135327</v>
      </c>
      <c r="J262" s="7">
        <f t="shared" si="9"/>
        <v>55.819993614090933</v>
      </c>
      <c r="K262" s="7">
        <f t="shared" si="10"/>
        <v>45.260707477944031</v>
      </c>
      <c r="L262" s="8">
        <f t="shared" si="11"/>
        <v>24.811620936130964</v>
      </c>
      <c r="M262" s="2"/>
      <c r="N262" s="2"/>
    </row>
    <row r="263" spans="1:14" x14ac:dyDescent="0.2">
      <c r="A263" t="s">
        <v>287</v>
      </c>
      <c r="B263">
        <v>9</v>
      </c>
      <c r="C263" t="s">
        <v>295</v>
      </c>
      <c r="D263">
        <v>99575</v>
      </c>
      <c r="E263">
        <v>164938</v>
      </c>
      <c r="F263">
        <v>125796</v>
      </c>
      <c r="G263">
        <v>185721</v>
      </c>
      <c r="H263">
        <v>140857</v>
      </c>
      <c r="I263">
        <v>137598</v>
      </c>
      <c r="J263" s="7">
        <f t="shared" si="9"/>
        <v>24.71069474846227</v>
      </c>
      <c r="K263" s="7">
        <f t="shared" si="10"/>
        <v>19.236510367010467</v>
      </c>
      <c r="L263" s="8">
        <f t="shared" si="11"/>
        <v>-1.1703865974753551</v>
      </c>
      <c r="M263" s="2"/>
      <c r="N263" s="2"/>
    </row>
    <row r="264" spans="1:14" x14ac:dyDescent="0.2">
      <c r="A264" t="s">
        <v>287</v>
      </c>
      <c r="B264">
        <v>10</v>
      </c>
      <c r="C264" t="s">
        <v>296</v>
      </c>
      <c r="D264">
        <v>43289</v>
      </c>
      <c r="E264">
        <v>217255</v>
      </c>
      <c r="F264">
        <v>53756</v>
      </c>
      <c r="G264">
        <v>236451</v>
      </c>
      <c r="H264">
        <v>62570</v>
      </c>
      <c r="I264">
        <v>196313</v>
      </c>
      <c r="J264" s="7">
        <f t="shared" si="9"/>
        <v>66.770295996069763</v>
      </c>
      <c r="K264" s="7">
        <f t="shared" si="10"/>
        <v>62.953340201993747</v>
      </c>
      <c r="L264" s="8">
        <f t="shared" si="11"/>
        <v>51.661561400323698</v>
      </c>
      <c r="M264" s="2"/>
      <c r="N264" s="2"/>
    </row>
    <row r="265" spans="1:14" x14ac:dyDescent="0.2">
      <c r="A265" t="s">
        <v>287</v>
      </c>
      <c r="B265">
        <v>11</v>
      </c>
      <c r="C265" t="s">
        <v>297</v>
      </c>
      <c r="D265">
        <v>158933</v>
      </c>
      <c r="E265">
        <v>198553</v>
      </c>
      <c r="F265">
        <v>179070</v>
      </c>
      <c r="G265">
        <v>252513</v>
      </c>
      <c r="H265">
        <v>183684</v>
      </c>
      <c r="I265">
        <v>219579</v>
      </c>
      <c r="J265" s="7">
        <f t="shared" si="9"/>
        <v>11.082951500198609</v>
      </c>
      <c r="K265" s="7">
        <f t="shared" si="10"/>
        <v>17.017120692891055</v>
      </c>
      <c r="L265" s="8">
        <f t="shared" si="11"/>
        <v>8.9011389589424272</v>
      </c>
      <c r="M265" s="2"/>
      <c r="N265" s="2"/>
    </row>
    <row r="266" spans="1:14" x14ac:dyDescent="0.2">
      <c r="A266" t="s">
        <v>287</v>
      </c>
      <c r="B266">
        <v>12</v>
      </c>
      <c r="C266" t="s">
        <v>298</v>
      </c>
      <c r="D266">
        <v>100665</v>
      </c>
      <c r="E266">
        <v>197421</v>
      </c>
      <c r="F266">
        <v>114252</v>
      </c>
      <c r="G266">
        <v>235900</v>
      </c>
      <c r="H266">
        <v>124491</v>
      </c>
      <c r="I266">
        <v>205449</v>
      </c>
      <c r="J266" s="7">
        <f t="shared" si="9"/>
        <v>32.459088987741794</v>
      </c>
      <c r="K266" s="7">
        <f t="shared" si="10"/>
        <v>34.741483698508077</v>
      </c>
      <c r="L266" s="8">
        <f t="shared" si="11"/>
        <v>24.53718857974177</v>
      </c>
      <c r="M266" s="2"/>
      <c r="N266" s="2"/>
    </row>
    <row r="267" spans="1:14" x14ac:dyDescent="0.2">
      <c r="A267" t="s">
        <v>300</v>
      </c>
      <c r="B267">
        <v>1</v>
      </c>
      <c r="C267" t="s">
        <v>299</v>
      </c>
      <c r="D267">
        <v>121998</v>
      </c>
      <c r="E267">
        <v>146767</v>
      </c>
      <c r="F267">
        <v>149046</v>
      </c>
      <c r="G267">
        <v>201054</v>
      </c>
      <c r="H267">
        <v>149361</v>
      </c>
      <c r="I267">
        <v>194152</v>
      </c>
      <c r="J267" s="7">
        <f t="shared" si="9"/>
        <v>9.21585771956914</v>
      </c>
      <c r="K267" s="7">
        <f t="shared" si="10"/>
        <v>14.855184233076264</v>
      </c>
      <c r="L267" s="8">
        <f t="shared" si="11"/>
        <v>13.039098956953593</v>
      </c>
      <c r="M267" s="2"/>
      <c r="N267" s="2"/>
    </row>
    <row r="268" spans="1:14" x14ac:dyDescent="0.2">
      <c r="A268" t="s">
        <v>300</v>
      </c>
      <c r="B268">
        <v>2</v>
      </c>
      <c r="C268" t="s">
        <v>301</v>
      </c>
      <c r="D268">
        <v>93438</v>
      </c>
      <c r="E268">
        <v>106987</v>
      </c>
      <c r="F268">
        <v>121897</v>
      </c>
      <c r="G268">
        <v>137429</v>
      </c>
      <c r="H268">
        <v>135094</v>
      </c>
      <c r="I268">
        <v>129940</v>
      </c>
      <c r="J268" s="7">
        <f t="shared" si="9"/>
        <v>6.7601347137333168</v>
      </c>
      <c r="K268" s="7">
        <f t="shared" si="10"/>
        <v>5.9893724501206975</v>
      </c>
      <c r="L268" s="8">
        <f t="shared" si="11"/>
        <v>-1.9446561573232113</v>
      </c>
      <c r="M268" s="2"/>
      <c r="N268" s="2"/>
    </row>
    <row r="269" spans="1:14" x14ac:dyDescent="0.2">
      <c r="A269" t="s">
        <v>300</v>
      </c>
      <c r="B269">
        <v>3</v>
      </c>
      <c r="C269" t="s">
        <v>302</v>
      </c>
      <c r="D269">
        <v>103667</v>
      </c>
      <c r="E269">
        <v>130794</v>
      </c>
      <c r="F269">
        <v>130789</v>
      </c>
      <c r="G269">
        <v>162573</v>
      </c>
      <c r="H269">
        <v>137725</v>
      </c>
      <c r="I269">
        <v>151976</v>
      </c>
      <c r="J269" s="7">
        <f t="shared" si="9"/>
        <v>11.56994126955016</v>
      </c>
      <c r="K269" s="7">
        <f t="shared" si="10"/>
        <v>10.834395729508254</v>
      </c>
      <c r="L269" s="8">
        <f t="shared" si="11"/>
        <v>4.9192098059723648</v>
      </c>
      <c r="M269" s="2"/>
      <c r="N269" s="2"/>
    </row>
    <row r="270" spans="1:14" x14ac:dyDescent="0.2">
      <c r="A270" t="s">
        <v>304</v>
      </c>
      <c r="B270">
        <v>1</v>
      </c>
      <c r="C270" t="s">
        <v>303</v>
      </c>
      <c r="D270">
        <v>110359</v>
      </c>
      <c r="E270">
        <v>136809</v>
      </c>
      <c r="F270">
        <v>144858</v>
      </c>
      <c r="G270">
        <v>172493</v>
      </c>
      <c r="H270">
        <v>160877</v>
      </c>
      <c r="I270">
        <v>168452</v>
      </c>
      <c r="J270" s="7">
        <f t="shared" si="9"/>
        <v>10.701223459347489</v>
      </c>
      <c r="K270" s="7">
        <f t="shared" si="10"/>
        <v>8.7080236079293911</v>
      </c>
      <c r="L270" s="8">
        <f t="shared" si="11"/>
        <v>2.3001314794627867</v>
      </c>
      <c r="M270" s="2"/>
      <c r="N270" s="2"/>
    </row>
    <row r="271" spans="1:14" x14ac:dyDescent="0.2">
      <c r="A271" t="s">
        <v>304</v>
      </c>
      <c r="B271">
        <v>2</v>
      </c>
      <c r="C271" t="s">
        <v>305</v>
      </c>
      <c r="D271">
        <v>175267</v>
      </c>
      <c r="E271">
        <v>130722</v>
      </c>
      <c r="F271">
        <v>217363</v>
      </c>
      <c r="G271">
        <v>172858</v>
      </c>
      <c r="H271">
        <v>235032</v>
      </c>
      <c r="I271">
        <v>176292</v>
      </c>
      <c r="J271" s="7">
        <f t="shared" si="9"/>
        <v>-14.557712858958983</v>
      </c>
      <c r="K271" s="7">
        <f t="shared" si="10"/>
        <v>-11.405075585373417</v>
      </c>
      <c r="L271" s="8">
        <f t="shared" si="11"/>
        <v>-14.280713014557866</v>
      </c>
      <c r="M271" s="2"/>
      <c r="N271" s="2"/>
    </row>
    <row r="272" spans="1:14" x14ac:dyDescent="0.2">
      <c r="A272" t="s">
        <v>304</v>
      </c>
      <c r="B272">
        <v>3</v>
      </c>
      <c r="C272" t="s">
        <v>306</v>
      </c>
      <c r="D272">
        <v>120711</v>
      </c>
      <c r="E272">
        <v>139324</v>
      </c>
      <c r="F272">
        <v>165987</v>
      </c>
      <c r="G272">
        <v>190087</v>
      </c>
      <c r="H272">
        <v>190836</v>
      </c>
      <c r="I272">
        <v>187997</v>
      </c>
      <c r="J272" s="7">
        <f t="shared" si="9"/>
        <v>7.1578825927279013</v>
      </c>
      <c r="K272" s="7">
        <f t="shared" si="10"/>
        <v>6.7682560366665356</v>
      </c>
      <c r="L272" s="8">
        <f t="shared" si="11"/>
        <v>-0.74940673067024255</v>
      </c>
      <c r="M272" s="2"/>
      <c r="N272" s="2"/>
    </row>
    <row r="273" spans="1:14" x14ac:dyDescent="0.2">
      <c r="A273" t="s">
        <v>304</v>
      </c>
      <c r="B273">
        <v>4</v>
      </c>
      <c r="C273" t="s">
        <v>307</v>
      </c>
      <c r="D273">
        <v>105616</v>
      </c>
      <c r="E273">
        <v>132159</v>
      </c>
      <c r="F273">
        <v>141550</v>
      </c>
      <c r="G273">
        <v>167736</v>
      </c>
      <c r="H273">
        <v>164460</v>
      </c>
      <c r="I273">
        <v>172456</v>
      </c>
      <c r="J273" s="7">
        <f t="shared" si="9"/>
        <v>11.16307433498055</v>
      </c>
      <c r="K273" s="7">
        <f t="shared" si="10"/>
        <v>8.4665972594944492</v>
      </c>
      <c r="L273" s="8">
        <f t="shared" si="11"/>
        <v>2.3732918590984102</v>
      </c>
      <c r="M273" s="2"/>
      <c r="N273" s="2"/>
    </row>
    <row r="274" spans="1:14" x14ac:dyDescent="0.2">
      <c r="A274" t="s">
        <v>309</v>
      </c>
      <c r="B274">
        <v>1</v>
      </c>
      <c r="C274" t="s">
        <v>308</v>
      </c>
      <c r="D274">
        <v>199099</v>
      </c>
      <c r="E274">
        <v>162109</v>
      </c>
      <c r="F274">
        <v>215371</v>
      </c>
      <c r="G274">
        <v>207862</v>
      </c>
      <c r="H274">
        <v>233206</v>
      </c>
      <c r="I274">
        <v>190070</v>
      </c>
      <c r="J274" s="7">
        <f t="shared" si="9"/>
        <v>-10.240636973710439</v>
      </c>
      <c r="K274" s="7">
        <f t="shared" si="10"/>
        <v>-1.7742000269355178</v>
      </c>
      <c r="L274" s="8">
        <f t="shared" si="11"/>
        <v>-10.190986495808881</v>
      </c>
      <c r="M274" s="2"/>
      <c r="N274" s="2"/>
    </row>
    <row r="275" spans="1:14" x14ac:dyDescent="0.2">
      <c r="A275" t="s">
        <v>309</v>
      </c>
      <c r="B275">
        <v>2</v>
      </c>
      <c r="C275" t="s">
        <v>310</v>
      </c>
      <c r="D275">
        <v>168551</v>
      </c>
      <c r="E275">
        <v>144004</v>
      </c>
      <c r="F275">
        <v>185234</v>
      </c>
      <c r="G275">
        <v>176301</v>
      </c>
      <c r="H275">
        <v>204363</v>
      </c>
      <c r="I275">
        <v>153928</v>
      </c>
      <c r="J275" s="7">
        <f t="shared" si="9"/>
        <v>-7.8536577562349024</v>
      </c>
      <c r="K275" s="7">
        <f t="shared" si="10"/>
        <v>-2.4708534443414885</v>
      </c>
      <c r="L275" s="8">
        <f t="shared" si="11"/>
        <v>-14.076546717612221</v>
      </c>
      <c r="M275" s="2"/>
      <c r="N275" s="2"/>
    </row>
    <row r="276" spans="1:14" x14ac:dyDescent="0.2">
      <c r="A276" t="s">
        <v>309</v>
      </c>
      <c r="B276">
        <v>3</v>
      </c>
      <c r="C276" t="s">
        <v>311</v>
      </c>
      <c r="D276">
        <v>151636</v>
      </c>
      <c r="E276">
        <v>180141</v>
      </c>
      <c r="F276">
        <v>172445</v>
      </c>
      <c r="G276">
        <v>216920</v>
      </c>
      <c r="H276">
        <v>194286</v>
      </c>
      <c r="I276">
        <v>178099</v>
      </c>
      <c r="J276" s="7">
        <f t="shared" ref="J276:J339" si="12">(E276-D276)/(E276+D276)*100</f>
        <v>8.5916142469188639</v>
      </c>
      <c r="K276" s="7">
        <f t="shared" ref="K276:K339" si="13">(G276-F276)/(G276+F276)*100</f>
        <v>11.422444236128054</v>
      </c>
      <c r="L276" s="8">
        <f t="shared" ref="L276:L339" si="14">(I276-H276)/(I276+H276)*100</f>
        <v>-4.3468453348013485</v>
      </c>
      <c r="M276" s="2"/>
      <c r="N276" s="2"/>
    </row>
    <row r="277" spans="1:14" x14ac:dyDescent="0.2">
      <c r="A277" t="s">
        <v>309</v>
      </c>
      <c r="B277">
        <v>4</v>
      </c>
      <c r="C277" t="s">
        <v>312</v>
      </c>
      <c r="D277">
        <v>148717</v>
      </c>
      <c r="E277">
        <v>191158</v>
      </c>
      <c r="F277">
        <v>166536</v>
      </c>
      <c r="G277">
        <v>223908</v>
      </c>
      <c r="H277">
        <v>189465</v>
      </c>
      <c r="I277">
        <v>194428</v>
      </c>
      <c r="J277" s="7">
        <f t="shared" si="12"/>
        <v>12.487237955130563</v>
      </c>
      <c r="K277" s="7">
        <f t="shared" si="13"/>
        <v>14.694040630666624</v>
      </c>
      <c r="L277" s="8">
        <f t="shared" si="14"/>
        <v>1.2928081522715966</v>
      </c>
      <c r="M277" s="2"/>
      <c r="N277" s="2"/>
    </row>
    <row r="278" spans="1:14" x14ac:dyDescent="0.2">
      <c r="A278" t="s">
        <v>309</v>
      </c>
      <c r="B278">
        <v>5</v>
      </c>
      <c r="C278" t="s">
        <v>313</v>
      </c>
      <c r="D278">
        <v>34377</v>
      </c>
      <c r="E278">
        <v>200133</v>
      </c>
      <c r="F278">
        <v>49325</v>
      </c>
      <c r="G278">
        <v>216236</v>
      </c>
      <c r="H278">
        <v>68170</v>
      </c>
      <c r="I278">
        <v>170189</v>
      </c>
      <c r="J278" s="7">
        <f t="shared" si="12"/>
        <v>70.681847255980557</v>
      </c>
      <c r="K278" s="7">
        <f t="shared" si="13"/>
        <v>62.852226042227585</v>
      </c>
      <c r="L278" s="8">
        <f t="shared" si="14"/>
        <v>42.800565533501988</v>
      </c>
      <c r="M278" s="2"/>
      <c r="N278" s="2"/>
    </row>
    <row r="279" spans="1:14" x14ac:dyDescent="0.2">
      <c r="A279" t="s">
        <v>309</v>
      </c>
      <c r="B279">
        <v>6</v>
      </c>
      <c r="C279" t="s">
        <v>314</v>
      </c>
      <c r="D279">
        <v>56383</v>
      </c>
      <c r="E279">
        <v>135722</v>
      </c>
      <c r="F279">
        <v>81285</v>
      </c>
      <c r="G279">
        <v>149650</v>
      </c>
      <c r="H279">
        <v>96065</v>
      </c>
      <c r="I279">
        <v>109480</v>
      </c>
      <c r="J279" s="7">
        <f t="shared" si="12"/>
        <v>41.299809999739729</v>
      </c>
      <c r="K279" s="7">
        <f t="shared" si="13"/>
        <v>29.60356810357893</v>
      </c>
      <c r="L279" s="8">
        <f t="shared" si="14"/>
        <v>6.5265513634483936</v>
      </c>
      <c r="M279" s="2"/>
      <c r="N279" s="2"/>
    </row>
    <row r="280" spans="1:14" x14ac:dyDescent="0.2">
      <c r="A280" t="s">
        <v>309</v>
      </c>
      <c r="B280">
        <v>7</v>
      </c>
      <c r="C280" t="s">
        <v>315</v>
      </c>
      <c r="D280">
        <v>26490</v>
      </c>
      <c r="E280">
        <v>180356</v>
      </c>
      <c r="F280">
        <v>48431</v>
      </c>
      <c r="G280">
        <v>199615</v>
      </c>
      <c r="H280">
        <v>60343</v>
      </c>
      <c r="I280">
        <v>168187</v>
      </c>
      <c r="J280" s="7">
        <f t="shared" si="12"/>
        <v>74.386741827253118</v>
      </c>
      <c r="K280" s="7">
        <f t="shared" si="13"/>
        <v>60.949985083411953</v>
      </c>
      <c r="L280" s="8">
        <f t="shared" si="14"/>
        <v>47.190303242462697</v>
      </c>
      <c r="M280" s="2"/>
      <c r="N280" s="2"/>
    </row>
    <row r="281" spans="1:14" x14ac:dyDescent="0.2">
      <c r="A281" t="s">
        <v>309</v>
      </c>
      <c r="B281">
        <v>8</v>
      </c>
      <c r="C281" t="s">
        <v>316</v>
      </c>
      <c r="D281">
        <v>42518</v>
      </c>
      <c r="E281">
        <v>189197</v>
      </c>
      <c r="F281">
        <v>57668</v>
      </c>
      <c r="G281">
        <v>203839</v>
      </c>
      <c r="H281">
        <v>64988</v>
      </c>
      <c r="I281">
        <v>170067</v>
      </c>
      <c r="J281" s="7">
        <f t="shared" si="12"/>
        <v>63.301469477591013</v>
      </c>
      <c r="K281" s="7">
        <f t="shared" si="13"/>
        <v>55.895635680880439</v>
      </c>
      <c r="L281" s="8">
        <f t="shared" si="14"/>
        <v>44.704005445534023</v>
      </c>
      <c r="M281" s="2"/>
      <c r="N281" s="2"/>
    </row>
    <row r="282" spans="1:14" x14ac:dyDescent="0.2">
      <c r="A282" t="s">
        <v>309</v>
      </c>
      <c r="B282">
        <v>9</v>
      </c>
      <c r="C282" t="s">
        <v>317</v>
      </c>
      <c r="D282">
        <v>44411</v>
      </c>
      <c r="E282">
        <v>186510</v>
      </c>
      <c r="F282">
        <v>63636</v>
      </c>
      <c r="G282">
        <v>204641</v>
      </c>
      <c r="H282">
        <v>71900</v>
      </c>
      <c r="I282">
        <v>173762</v>
      </c>
      <c r="J282" s="7">
        <f t="shared" si="12"/>
        <v>61.535763312994483</v>
      </c>
      <c r="K282" s="7">
        <f t="shared" si="13"/>
        <v>52.559481431505496</v>
      </c>
      <c r="L282" s="8">
        <f t="shared" si="14"/>
        <v>41.464288331121622</v>
      </c>
      <c r="M282" s="2"/>
      <c r="N282" s="2"/>
    </row>
    <row r="283" spans="1:14" x14ac:dyDescent="0.2">
      <c r="A283" t="s">
        <v>309</v>
      </c>
      <c r="B283">
        <v>10</v>
      </c>
      <c r="C283" t="s">
        <v>318</v>
      </c>
      <c r="D283">
        <v>29053</v>
      </c>
      <c r="E283">
        <v>224497</v>
      </c>
      <c r="F283">
        <v>40386</v>
      </c>
      <c r="G283">
        <v>241979</v>
      </c>
      <c r="H283">
        <v>51536</v>
      </c>
      <c r="I283">
        <v>218940</v>
      </c>
      <c r="J283" s="7">
        <f t="shared" si="12"/>
        <v>77.08302110037468</v>
      </c>
      <c r="K283" s="7">
        <f t="shared" si="13"/>
        <v>71.394471694438053</v>
      </c>
      <c r="L283" s="8">
        <f t="shared" si="14"/>
        <v>61.892367529836292</v>
      </c>
      <c r="M283" s="2"/>
      <c r="N283" s="2"/>
    </row>
    <row r="284" spans="1:14" x14ac:dyDescent="0.2">
      <c r="A284" t="s">
        <v>309</v>
      </c>
      <c r="B284">
        <v>11</v>
      </c>
      <c r="C284" t="s">
        <v>319</v>
      </c>
      <c r="D284">
        <v>129447</v>
      </c>
      <c r="E284">
        <v>110014</v>
      </c>
      <c r="F284">
        <v>157195</v>
      </c>
      <c r="G284">
        <v>134686</v>
      </c>
      <c r="H284">
        <v>167092</v>
      </c>
      <c r="I284">
        <v>100628</v>
      </c>
      <c r="J284" s="7">
        <f t="shared" si="12"/>
        <v>-8.1153089647165935</v>
      </c>
      <c r="K284" s="7">
        <f t="shared" si="13"/>
        <v>-7.7117044274892859</v>
      </c>
      <c r="L284" s="8">
        <f t="shared" si="14"/>
        <v>-24.825937546690572</v>
      </c>
      <c r="M284" s="2"/>
      <c r="N284" s="2"/>
    </row>
    <row r="285" spans="1:14" x14ac:dyDescent="0.2">
      <c r="A285" t="s">
        <v>309</v>
      </c>
      <c r="B285">
        <v>12</v>
      </c>
      <c r="C285" t="s">
        <v>320</v>
      </c>
      <c r="D285">
        <v>41591</v>
      </c>
      <c r="E285">
        <v>271195</v>
      </c>
      <c r="F285">
        <v>47205</v>
      </c>
      <c r="G285">
        <v>291101</v>
      </c>
      <c r="H285">
        <v>58314</v>
      </c>
      <c r="I285">
        <v>273954</v>
      </c>
      <c r="J285" s="7">
        <f t="shared" si="12"/>
        <v>73.406098738434594</v>
      </c>
      <c r="K285" s="7">
        <f t="shared" si="13"/>
        <v>72.093311972001686</v>
      </c>
      <c r="L285" s="8">
        <f t="shared" si="14"/>
        <v>64.899418541659131</v>
      </c>
      <c r="M285" s="2"/>
      <c r="N285" s="2"/>
    </row>
    <row r="286" spans="1:14" x14ac:dyDescent="0.2">
      <c r="A286" t="s">
        <v>309</v>
      </c>
      <c r="B286">
        <v>13</v>
      </c>
      <c r="C286" t="s">
        <v>321</v>
      </c>
      <c r="D286">
        <v>13951</v>
      </c>
      <c r="E286">
        <v>243798</v>
      </c>
      <c r="F286">
        <v>30506</v>
      </c>
      <c r="G286">
        <v>242573</v>
      </c>
      <c r="H286">
        <v>46800</v>
      </c>
      <c r="I286">
        <v>188808</v>
      </c>
      <c r="J286" s="7">
        <f t="shared" si="12"/>
        <v>89.174739766206656</v>
      </c>
      <c r="K286" s="7">
        <f t="shared" si="13"/>
        <v>77.65774739178039</v>
      </c>
      <c r="L286" s="8">
        <f t="shared" si="14"/>
        <v>60.27299582357135</v>
      </c>
      <c r="M286" s="2"/>
      <c r="N286" s="2"/>
    </row>
    <row r="287" spans="1:14" x14ac:dyDescent="0.2">
      <c r="A287" t="s">
        <v>309</v>
      </c>
      <c r="B287">
        <v>14</v>
      </c>
      <c r="C287" t="s">
        <v>322</v>
      </c>
      <c r="D287">
        <v>32709</v>
      </c>
      <c r="E287">
        <v>168850</v>
      </c>
      <c r="F287">
        <v>50795</v>
      </c>
      <c r="G287">
        <v>177862</v>
      </c>
      <c r="H287">
        <v>67385</v>
      </c>
      <c r="I287">
        <v>131879</v>
      </c>
      <c r="J287" s="7">
        <f t="shared" si="12"/>
        <v>67.543994562386203</v>
      </c>
      <c r="K287" s="7">
        <f t="shared" si="13"/>
        <v>55.571008103841123</v>
      </c>
      <c r="L287" s="8">
        <f t="shared" si="14"/>
        <v>32.366107274771153</v>
      </c>
      <c r="M287" s="2"/>
      <c r="N287" s="2"/>
    </row>
    <row r="288" spans="1:14" x14ac:dyDescent="0.2">
      <c r="A288" t="s">
        <v>309</v>
      </c>
      <c r="B288">
        <v>15</v>
      </c>
      <c r="C288" t="s">
        <v>323</v>
      </c>
      <c r="D288">
        <v>16766</v>
      </c>
      <c r="E288">
        <v>187242</v>
      </c>
      <c r="F288">
        <v>31292</v>
      </c>
      <c r="G288">
        <v>184643</v>
      </c>
      <c r="H288">
        <v>47283</v>
      </c>
      <c r="I288">
        <v>137445</v>
      </c>
      <c r="J288" s="7">
        <f t="shared" si="12"/>
        <v>83.563389670993288</v>
      </c>
      <c r="K288" s="7">
        <f t="shared" si="13"/>
        <v>71.017204251279324</v>
      </c>
      <c r="L288" s="8">
        <f t="shared" si="14"/>
        <v>48.807977133948292</v>
      </c>
      <c r="M288" s="2"/>
      <c r="N288" s="2"/>
    </row>
    <row r="289" spans="1:14" x14ac:dyDescent="0.2">
      <c r="A289" t="s">
        <v>309</v>
      </c>
      <c r="B289">
        <v>16</v>
      </c>
      <c r="C289" t="s">
        <v>324</v>
      </c>
      <c r="D289">
        <v>80796</v>
      </c>
      <c r="E289">
        <v>215309</v>
      </c>
      <c r="F289">
        <v>91082</v>
      </c>
      <c r="G289">
        <v>240250</v>
      </c>
      <c r="H289">
        <v>108141</v>
      </c>
      <c r="I289">
        <v>216167</v>
      </c>
      <c r="J289" s="7">
        <f t="shared" si="12"/>
        <v>45.427466608128874</v>
      </c>
      <c r="K289" s="7">
        <f t="shared" si="13"/>
        <v>45.020704308669252</v>
      </c>
      <c r="L289" s="8">
        <f t="shared" si="14"/>
        <v>33.309693254560479</v>
      </c>
      <c r="M289" s="2"/>
      <c r="N289" s="2"/>
    </row>
    <row r="290" spans="1:14" x14ac:dyDescent="0.2">
      <c r="A290" t="s">
        <v>309</v>
      </c>
      <c r="B290">
        <v>17</v>
      </c>
      <c r="C290" t="s">
        <v>325</v>
      </c>
      <c r="D290">
        <v>151619</v>
      </c>
      <c r="E290">
        <v>179410</v>
      </c>
      <c r="F290">
        <v>171524</v>
      </c>
      <c r="G290">
        <v>210411</v>
      </c>
      <c r="H290">
        <v>192139</v>
      </c>
      <c r="I290">
        <v>194302</v>
      </c>
      <c r="J290" s="7">
        <f t="shared" si="12"/>
        <v>8.3953369644351401</v>
      </c>
      <c r="K290" s="7">
        <f t="shared" si="13"/>
        <v>10.181575398955319</v>
      </c>
      <c r="L290" s="8">
        <f t="shared" si="14"/>
        <v>0.55972321777451151</v>
      </c>
      <c r="M290" s="2"/>
      <c r="N290" s="2"/>
    </row>
    <row r="291" spans="1:14" x14ac:dyDescent="0.2">
      <c r="A291" t="s">
        <v>309</v>
      </c>
      <c r="B291">
        <v>18</v>
      </c>
      <c r="C291" t="s">
        <v>326</v>
      </c>
      <c r="D291">
        <v>149465</v>
      </c>
      <c r="E291">
        <v>154067</v>
      </c>
      <c r="F291">
        <v>163013</v>
      </c>
      <c r="G291">
        <v>196154</v>
      </c>
      <c r="H291">
        <v>178297</v>
      </c>
      <c r="I291">
        <v>190672</v>
      </c>
      <c r="J291" s="7">
        <f t="shared" si="12"/>
        <v>1.5161498622879961</v>
      </c>
      <c r="K291" s="7">
        <f t="shared" si="13"/>
        <v>9.2271840118941899</v>
      </c>
      <c r="L291" s="8">
        <f t="shared" si="14"/>
        <v>3.3539403039279723</v>
      </c>
      <c r="M291" s="2"/>
      <c r="N291" s="2"/>
    </row>
    <row r="292" spans="1:14" x14ac:dyDescent="0.2">
      <c r="A292" t="s">
        <v>309</v>
      </c>
      <c r="B292">
        <v>19</v>
      </c>
      <c r="C292" t="s">
        <v>327</v>
      </c>
      <c r="D292">
        <v>163837</v>
      </c>
      <c r="E292">
        <v>157238</v>
      </c>
      <c r="F292">
        <v>179040</v>
      </c>
      <c r="G292">
        <v>196154</v>
      </c>
      <c r="H292">
        <v>187279</v>
      </c>
      <c r="I292">
        <v>194147</v>
      </c>
      <c r="J292" s="7">
        <f t="shared" si="12"/>
        <v>-2.055283033559137</v>
      </c>
      <c r="K292" s="7">
        <f t="shared" si="13"/>
        <v>4.5613735827331992</v>
      </c>
      <c r="L292" s="8">
        <f t="shared" si="14"/>
        <v>1.8006113898895197</v>
      </c>
      <c r="M292" s="2"/>
      <c r="N292" s="2"/>
    </row>
    <row r="293" spans="1:14" x14ac:dyDescent="0.2">
      <c r="A293" t="s">
        <v>309</v>
      </c>
      <c r="B293">
        <v>20</v>
      </c>
      <c r="C293" t="s">
        <v>328</v>
      </c>
      <c r="D293">
        <v>139704</v>
      </c>
      <c r="E293">
        <v>180359</v>
      </c>
      <c r="F293">
        <v>151100</v>
      </c>
      <c r="G293">
        <v>224549</v>
      </c>
      <c r="H293">
        <v>158272</v>
      </c>
      <c r="I293">
        <v>211181</v>
      </c>
      <c r="J293" s="7">
        <f t="shared" si="12"/>
        <v>12.70218675698222</v>
      </c>
      <c r="K293" s="7">
        <f t="shared" si="13"/>
        <v>19.552561034369852</v>
      </c>
      <c r="L293" s="8">
        <f t="shared" si="14"/>
        <v>14.320901440778663</v>
      </c>
      <c r="M293" s="2"/>
      <c r="N293" s="2"/>
    </row>
    <row r="294" spans="1:14" x14ac:dyDescent="0.2">
      <c r="A294" t="s">
        <v>309</v>
      </c>
      <c r="B294">
        <v>21</v>
      </c>
      <c r="C294" t="s">
        <v>329</v>
      </c>
      <c r="D294">
        <v>174788</v>
      </c>
      <c r="E294">
        <v>116539</v>
      </c>
      <c r="F294">
        <v>202232</v>
      </c>
      <c r="G294">
        <v>146468</v>
      </c>
      <c r="H294">
        <v>214503</v>
      </c>
      <c r="I294">
        <v>140723</v>
      </c>
      <c r="J294" s="7">
        <f t="shared" si="12"/>
        <v>-19.994370587003608</v>
      </c>
      <c r="K294" s="7">
        <f t="shared" si="13"/>
        <v>-15.991970174935474</v>
      </c>
      <c r="L294" s="8">
        <f t="shared" si="14"/>
        <v>-20.769876078890622</v>
      </c>
      <c r="M294" s="2"/>
      <c r="N294" s="2"/>
    </row>
    <row r="295" spans="1:14" x14ac:dyDescent="0.2">
      <c r="A295" t="s">
        <v>309</v>
      </c>
      <c r="B295">
        <v>22</v>
      </c>
      <c r="C295" t="s">
        <v>330</v>
      </c>
      <c r="D295">
        <v>145355</v>
      </c>
      <c r="E295">
        <v>164220</v>
      </c>
      <c r="F295">
        <v>160633</v>
      </c>
      <c r="G295">
        <v>202853</v>
      </c>
      <c r="H295">
        <v>166358</v>
      </c>
      <c r="I295">
        <v>194091</v>
      </c>
      <c r="J295" s="7">
        <f t="shared" si="12"/>
        <v>6.0938383267382701</v>
      </c>
      <c r="K295" s="7">
        <f t="shared" si="13"/>
        <v>11.615302927760629</v>
      </c>
      <c r="L295" s="8">
        <f t="shared" si="14"/>
        <v>7.6940149646690656</v>
      </c>
      <c r="M295" s="2"/>
      <c r="N295" s="2"/>
    </row>
    <row r="296" spans="1:14" x14ac:dyDescent="0.2">
      <c r="A296" t="s">
        <v>309</v>
      </c>
      <c r="B296">
        <v>23</v>
      </c>
      <c r="C296" t="s">
        <v>331</v>
      </c>
      <c r="D296">
        <v>213225</v>
      </c>
      <c r="E296">
        <v>123200</v>
      </c>
      <c r="F296">
        <v>232953</v>
      </c>
      <c r="G296">
        <v>160041</v>
      </c>
      <c r="H296">
        <v>237453</v>
      </c>
      <c r="I296">
        <v>154405</v>
      </c>
      <c r="J296" s="7">
        <f t="shared" si="12"/>
        <v>-26.759307423645684</v>
      </c>
      <c r="K296" s="7">
        <f t="shared" si="13"/>
        <v>-18.552955006946668</v>
      </c>
      <c r="L296" s="8">
        <f t="shared" si="14"/>
        <v>-21.193391483649691</v>
      </c>
      <c r="M296" s="2"/>
      <c r="N296" s="2"/>
    </row>
    <row r="297" spans="1:14" x14ac:dyDescent="0.2">
      <c r="A297" t="s">
        <v>309</v>
      </c>
      <c r="B297">
        <v>24</v>
      </c>
      <c r="C297" t="s">
        <v>332</v>
      </c>
      <c r="D297">
        <v>198947</v>
      </c>
      <c r="E297">
        <v>116712</v>
      </c>
      <c r="F297">
        <v>222924</v>
      </c>
      <c r="G297">
        <v>146392</v>
      </c>
      <c r="H297">
        <v>229718</v>
      </c>
      <c r="I297">
        <v>142999</v>
      </c>
      <c r="J297" s="7">
        <f t="shared" si="12"/>
        <v>-26.051847088155256</v>
      </c>
      <c r="K297" s="7">
        <f t="shared" si="13"/>
        <v>-20.722633192171475</v>
      </c>
      <c r="L297" s="8">
        <f t="shared" si="14"/>
        <v>-23.266714424080469</v>
      </c>
      <c r="M297" s="2"/>
      <c r="N297" s="2"/>
    </row>
    <row r="298" spans="1:14" x14ac:dyDescent="0.2">
      <c r="A298" t="s">
        <v>309</v>
      </c>
      <c r="B298">
        <v>25</v>
      </c>
      <c r="C298" t="s">
        <v>333</v>
      </c>
      <c r="D298">
        <v>141224</v>
      </c>
      <c r="E298">
        <v>192574</v>
      </c>
      <c r="F298">
        <v>150712</v>
      </c>
      <c r="G298">
        <v>231293</v>
      </c>
      <c r="H298">
        <v>151196</v>
      </c>
      <c r="I298">
        <v>220540</v>
      </c>
      <c r="J298" s="7">
        <f t="shared" si="12"/>
        <v>15.383555323878515</v>
      </c>
      <c r="K298" s="7">
        <f t="shared" si="13"/>
        <v>21.094226515359747</v>
      </c>
      <c r="L298" s="8">
        <f t="shared" si="14"/>
        <v>18.654098607614007</v>
      </c>
      <c r="M298" s="2"/>
      <c r="N298" s="2"/>
    </row>
    <row r="299" spans="1:14" x14ac:dyDescent="0.2">
      <c r="A299" t="s">
        <v>309</v>
      </c>
      <c r="B299">
        <v>26</v>
      </c>
      <c r="C299" t="s">
        <v>334</v>
      </c>
      <c r="D299">
        <v>124893</v>
      </c>
      <c r="E299">
        <v>181577</v>
      </c>
      <c r="F299">
        <v>129474</v>
      </c>
      <c r="G299">
        <v>218505</v>
      </c>
      <c r="H299">
        <v>134624</v>
      </c>
      <c r="I299">
        <v>200098</v>
      </c>
      <c r="J299" s="7">
        <f t="shared" si="12"/>
        <v>18.495774464058474</v>
      </c>
      <c r="K299" s="7">
        <f t="shared" si="13"/>
        <v>25.585164622003052</v>
      </c>
      <c r="L299" s="8">
        <f t="shared" si="14"/>
        <v>19.560710081799222</v>
      </c>
      <c r="M299" s="2"/>
      <c r="N299" s="2"/>
    </row>
    <row r="300" spans="1:14" x14ac:dyDescent="0.2">
      <c r="A300" t="s">
        <v>336</v>
      </c>
      <c r="B300">
        <v>1</v>
      </c>
      <c r="C300" t="s">
        <v>335</v>
      </c>
      <c r="D300">
        <v>183796</v>
      </c>
      <c r="E300">
        <v>171637</v>
      </c>
      <c r="F300">
        <v>199450</v>
      </c>
      <c r="G300">
        <v>200126</v>
      </c>
      <c r="H300">
        <v>201912</v>
      </c>
      <c r="I300">
        <v>191603</v>
      </c>
      <c r="J300" s="7">
        <f t="shared" si="12"/>
        <v>-3.4208978907417151</v>
      </c>
      <c r="K300" s="7">
        <f t="shared" si="13"/>
        <v>0.1691793300898953</v>
      </c>
      <c r="L300" s="8">
        <f t="shared" si="14"/>
        <v>-2.6197222469283252</v>
      </c>
      <c r="M300" s="2"/>
      <c r="N300" s="2"/>
    </row>
    <row r="301" spans="1:14" x14ac:dyDescent="0.2">
      <c r="A301" t="s">
        <v>336</v>
      </c>
      <c r="B301">
        <v>2</v>
      </c>
      <c r="C301" t="s">
        <v>337</v>
      </c>
      <c r="D301">
        <v>235154</v>
      </c>
      <c r="E301">
        <v>103858</v>
      </c>
      <c r="F301">
        <v>261545</v>
      </c>
      <c r="G301">
        <v>111600</v>
      </c>
      <c r="H301">
        <v>265831</v>
      </c>
      <c r="I301">
        <v>107317</v>
      </c>
      <c r="J301" s="7">
        <f t="shared" si="12"/>
        <v>-38.729012542328881</v>
      </c>
      <c r="K301" s="7">
        <f t="shared" si="13"/>
        <v>-40.184110734432991</v>
      </c>
      <c r="L301" s="8">
        <f t="shared" si="14"/>
        <v>-42.480195525635942</v>
      </c>
      <c r="M301" s="2"/>
      <c r="N301" s="2"/>
    </row>
    <row r="302" spans="1:14" x14ac:dyDescent="0.2">
      <c r="A302" t="s">
        <v>336</v>
      </c>
      <c r="B302">
        <v>3</v>
      </c>
      <c r="C302" t="s">
        <v>338</v>
      </c>
      <c r="D302">
        <v>101909</v>
      </c>
      <c r="E302">
        <v>239177</v>
      </c>
      <c r="F302">
        <v>104532</v>
      </c>
      <c r="G302">
        <v>271664</v>
      </c>
      <c r="H302">
        <v>105242</v>
      </c>
      <c r="I302">
        <v>249431</v>
      </c>
      <c r="J302" s="7">
        <f t="shared" si="12"/>
        <v>40.244395841517978</v>
      </c>
      <c r="K302" s="7">
        <f t="shared" si="13"/>
        <v>44.42684132739317</v>
      </c>
      <c r="L302" s="8">
        <f t="shared" si="14"/>
        <v>40.654067267595785</v>
      </c>
      <c r="M302" s="2"/>
      <c r="N302" s="2"/>
    </row>
    <row r="303" spans="1:14" x14ac:dyDescent="0.2">
      <c r="A303" t="s">
        <v>336</v>
      </c>
      <c r="B303">
        <v>4</v>
      </c>
      <c r="C303" t="s">
        <v>339</v>
      </c>
      <c r="D303">
        <v>242527</v>
      </c>
      <c r="E303">
        <v>100316</v>
      </c>
      <c r="F303">
        <v>273297</v>
      </c>
      <c r="G303">
        <v>114210</v>
      </c>
      <c r="H303">
        <v>280927</v>
      </c>
      <c r="I303">
        <v>111941</v>
      </c>
      <c r="J303" s="7">
        <f t="shared" si="12"/>
        <v>-41.479919380007757</v>
      </c>
      <c r="K303" s="7">
        <f t="shared" si="13"/>
        <v>-41.05396805735122</v>
      </c>
      <c r="L303" s="8">
        <f t="shared" si="14"/>
        <v>-43.013429447040735</v>
      </c>
      <c r="M303" s="2"/>
      <c r="N303" s="2"/>
    </row>
    <row r="304" spans="1:14" x14ac:dyDescent="0.2">
      <c r="A304" t="s">
        <v>336</v>
      </c>
      <c r="B304">
        <v>5</v>
      </c>
      <c r="C304" t="s">
        <v>340</v>
      </c>
      <c r="D304">
        <v>202111</v>
      </c>
      <c r="E304">
        <v>134880</v>
      </c>
      <c r="F304">
        <v>232535</v>
      </c>
      <c r="G304">
        <v>150175</v>
      </c>
      <c r="H304">
        <v>238010</v>
      </c>
      <c r="I304">
        <v>145964</v>
      </c>
      <c r="J304" s="7">
        <f t="shared" si="12"/>
        <v>-19.950384431631704</v>
      </c>
      <c r="K304" s="7">
        <f t="shared" si="13"/>
        <v>-21.520211125917797</v>
      </c>
      <c r="L304" s="8">
        <f t="shared" si="14"/>
        <v>-23.971935599806237</v>
      </c>
      <c r="M304" s="2"/>
      <c r="N304" s="2"/>
    </row>
    <row r="305" spans="1:14" x14ac:dyDescent="0.2">
      <c r="A305" t="s">
        <v>336</v>
      </c>
      <c r="B305">
        <v>6</v>
      </c>
      <c r="C305" t="s">
        <v>341</v>
      </c>
      <c r="D305">
        <v>217308</v>
      </c>
      <c r="E305">
        <v>126116</v>
      </c>
      <c r="F305">
        <v>245482</v>
      </c>
      <c r="G305">
        <v>131306</v>
      </c>
      <c r="H305">
        <v>244557</v>
      </c>
      <c r="I305">
        <v>118027</v>
      </c>
      <c r="J305" s="7">
        <f t="shared" si="12"/>
        <v>-26.553764442787926</v>
      </c>
      <c r="K305" s="7">
        <f t="shared" si="13"/>
        <v>-30.302451245793389</v>
      </c>
      <c r="L305" s="8">
        <f t="shared" si="14"/>
        <v>-34.896741168942917</v>
      </c>
      <c r="M305" s="2"/>
      <c r="N305" s="2"/>
    </row>
    <row r="306" spans="1:14" x14ac:dyDescent="0.2">
      <c r="A306" t="s">
        <v>336</v>
      </c>
      <c r="B306">
        <v>7</v>
      </c>
      <c r="C306" t="s">
        <v>342</v>
      </c>
      <c r="D306">
        <v>211861</v>
      </c>
      <c r="E306">
        <v>164824</v>
      </c>
      <c r="F306">
        <v>236653</v>
      </c>
      <c r="G306">
        <v>194811</v>
      </c>
      <c r="H306">
        <v>234785</v>
      </c>
      <c r="I306">
        <v>187691</v>
      </c>
      <c r="J306" s="7">
        <f t="shared" si="12"/>
        <v>-12.487091336262395</v>
      </c>
      <c r="K306" s="7">
        <f t="shared" si="13"/>
        <v>-9.6976804553798228</v>
      </c>
      <c r="L306" s="8">
        <f t="shared" si="14"/>
        <v>-11.147142086177677</v>
      </c>
      <c r="M306" s="2"/>
      <c r="N306" s="2"/>
    </row>
    <row r="307" spans="1:14" x14ac:dyDescent="0.2">
      <c r="A307" t="s">
        <v>336</v>
      </c>
      <c r="B307">
        <v>8</v>
      </c>
      <c r="C307" t="s">
        <v>343</v>
      </c>
      <c r="D307">
        <v>223385</v>
      </c>
      <c r="E307">
        <v>146732</v>
      </c>
      <c r="F307">
        <v>234543</v>
      </c>
      <c r="G307">
        <v>173573</v>
      </c>
      <c r="H307">
        <v>230834</v>
      </c>
      <c r="I307">
        <v>167929</v>
      </c>
      <c r="J307" s="7">
        <f t="shared" si="12"/>
        <v>-20.710478038025816</v>
      </c>
      <c r="K307" s="7">
        <f t="shared" si="13"/>
        <v>-14.939379980201709</v>
      </c>
      <c r="L307" s="8">
        <f t="shared" si="14"/>
        <v>-15.775034293552812</v>
      </c>
      <c r="M307" s="2"/>
      <c r="N307" s="2"/>
    </row>
    <row r="308" spans="1:14" x14ac:dyDescent="0.2">
      <c r="A308" t="s">
        <v>336</v>
      </c>
      <c r="B308">
        <v>9</v>
      </c>
      <c r="C308" t="s">
        <v>344</v>
      </c>
      <c r="D308">
        <v>186743</v>
      </c>
      <c r="E308">
        <v>168618</v>
      </c>
      <c r="F308">
        <v>206332</v>
      </c>
      <c r="G308">
        <v>179884</v>
      </c>
      <c r="H308">
        <v>208947</v>
      </c>
      <c r="I308">
        <v>168624</v>
      </c>
      <c r="J308" s="7">
        <f t="shared" si="12"/>
        <v>-5.1004471509253966</v>
      </c>
      <c r="K308" s="7">
        <f t="shared" si="13"/>
        <v>-6.8479814404374757</v>
      </c>
      <c r="L308" s="8">
        <f t="shared" si="14"/>
        <v>-10.679580794075816</v>
      </c>
      <c r="M308" s="2"/>
      <c r="N308" s="2"/>
    </row>
    <row r="309" spans="1:14" x14ac:dyDescent="0.2">
      <c r="A309" t="s">
        <v>336</v>
      </c>
      <c r="B309">
        <v>10</v>
      </c>
      <c r="C309" t="s">
        <v>345</v>
      </c>
      <c r="D309">
        <v>192717</v>
      </c>
      <c r="E309">
        <v>161065</v>
      </c>
      <c r="F309">
        <v>203762</v>
      </c>
      <c r="G309">
        <v>181210</v>
      </c>
      <c r="H309">
        <v>202500</v>
      </c>
      <c r="I309">
        <v>172975</v>
      </c>
      <c r="J309" s="7">
        <f t="shared" si="12"/>
        <v>-8.9467525199133924</v>
      </c>
      <c r="K309" s="7">
        <f t="shared" si="13"/>
        <v>-5.8580883804536432</v>
      </c>
      <c r="L309" s="8">
        <f t="shared" si="14"/>
        <v>-7.8633730607896659</v>
      </c>
      <c r="M309" s="2"/>
      <c r="N309" s="2"/>
    </row>
    <row r="310" spans="1:14" x14ac:dyDescent="0.2">
      <c r="A310" t="s">
        <v>336</v>
      </c>
      <c r="B310">
        <v>11</v>
      </c>
      <c r="C310" t="s">
        <v>346</v>
      </c>
      <c r="D310">
        <v>65718</v>
      </c>
      <c r="E310">
        <v>282881</v>
      </c>
      <c r="F310">
        <v>74107</v>
      </c>
      <c r="G310">
        <v>280544</v>
      </c>
      <c r="H310">
        <v>70858</v>
      </c>
      <c r="I310">
        <v>247372</v>
      </c>
      <c r="J310" s="7">
        <f t="shared" si="12"/>
        <v>62.295933149550052</v>
      </c>
      <c r="K310" s="7">
        <f t="shared" si="13"/>
        <v>58.20849229242269</v>
      </c>
      <c r="L310" s="8">
        <f t="shared" si="14"/>
        <v>55.467429217861294</v>
      </c>
      <c r="M310" s="2"/>
      <c r="N310" s="2"/>
    </row>
    <row r="311" spans="1:14" x14ac:dyDescent="0.2">
      <c r="A311" t="s">
        <v>336</v>
      </c>
      <c r="B311">
        <v>12</v>
      </c>
      <c r="C311" t="s">
        <v>347</v>
      </c>
      <c r="D311">
        <v>223201</v>
      </c>
      <c r="E311">
        <v>115143</v>
      </c>
      <c r="F311">
        <v>258365</v>
      </c>
      <c r="G311">
        <v>141032</v>
      </c>
      <c r="H311">
        <v>265024</v>
      </c>
      <c r="I311">
        <v>141594</v>
      </c>
      <c r="J311" s="7">
        <f t="shared" si="12"/>
        <v>-31.937318232331592</v>
      </c>
      <c r="K311" s="7">
        <f t="shared" si="13"/>
        <v>-29.377536636479494</v>
      </c>
      <c r="L311" s="8">
        <f t="shared" si="14"/>
        <v>-30.35527202435701</v>
      </c>
      <c r="M311" s="2"/>
      <c r="N311" s="2"/>
    </row>
    <row r="312" spans="1:14" x14ac:dyDescent="0.2">
      <c r="A312" t="s">
        <v>336</v>
      </c>
      <c r="B312">
        <v>13</v>
      </c>
      <c r="C312" t="s">
        <v>348</v>
      </c>
      <c r="D312">
        <v>167088</v>
      </c>
      <c r="E312">
        <v>186781</v>
      </c>
      <c r="F312">
        <v>185484</v>
      </c>
      <c r="G312">
        <v>209165</v>
      </c>
      <c r="H312">
        <v>186970</v>
      </c>
      <c r="I312">
        <v>199819</v>
      </c>
      <c r="J312" s="7">
        <f t="shared" si="12"/>
        <v>5.5650537345740938</v>
      </c>
      <c r="K312" s="7">
        <f t="shared" si="13"/>
        <v>6.0005219828252443</v>
      </c>
      <c r="L312" s="8">
        <f t="shared" si="14"/>
        <v>3.3219662399913132</v>
      </c>
      <c r="M312" s="2"/>
      <c r="N312" s="2"/>
    </row>
    <row r="313" spans="1:14" x14ac:dyDescent="0.2">
      <c r="A313" t="s">
        <v>336</v>
      </c>
      <c r="B313">
        <v>14</v>
      </c>
      <c r="C313" t="s">
        <v>349</v>
      </c>
      <c r="D313">
        <v>214436</v>
      </c>
      <c r="E313">
        <v>153445</v>
      </c>
      <c r="F313">
        <v>244475</v>
      </c>
      <c r="G313">
        <v>172571</v>
      </c>
      <c r="H313">
        <v>247101</v>
      </c>
      <c r="I313">
        <v>162913</v>
      </c>
      <c r="J313" s="7">
        <f t="shared" si="12"/>
        <v>-16.57900244916155</v>
      </c>
      <c r="K313" s="7">
        <f t="shared" si="13"/>
        <v>-17.241263553660747</v>
      </c>
      <c r="L313" s="8">
        <f t="shared" si="14"/>
        <v>-20.532957411210347</v>
      </c>
      <c r="M313" s="2"/>
      <c r="N313" s="2"/>
    </row>
    <row r="314" spans="1:14" x14ac:dyDescent="0.2">
      <c r="A314" t="s">
        <v>336</v>
      </c>
      <c r="B314">
        <v>15</v>
      </c>
      <c r="C314" t="s">
        <v>350</v>
      </c>
      <c r="D314">
        <v>173051</v>
      </c>
      <c r="E314">
        <v>138691</v>
      </c>
      <c r="F314">
        <v>194272</v>
      </c>
      <c r="G314">
        <v>167294</v>
      </c>
      <c r="H314">
        <v>196618</v>
      </c>
      <c r="I314">
        <v>160499</v>
      </c>
      <c r="J314" s="7">
        <f t="shared" si="12"/>
        <v>-11.021934805063163</v>
      </c>
      <c r="K314" s="7">
        <f t="shared" si="13"/>
        <v>-7.4614316611628304</v>
      </c>
      <c r="L314" s="8">
        <f t="shared" si="14"/>
        <v>-10.114052257383435</v>
      </c>
      <c r="M314" s="2"/>
      <c r="N314" s="2"/>
    </row>
    <row r="315" spans="1:14" x14ac:dyDescent="0.2">
      <c r="A315" t="s">
        <v>352</v>
      </c>
      <c r="B315">
        <v>1</v>
      </c>
      <c r="C315" t="s">
        <v>351</v>
      </c>
      <c r="D315">
        <v>180129</v>
      </c>
      <c r="E315">
        <v>97957</v>
      </c>
      <c r="F315">
        <v>190382</v>
      </c>
      <c r="G315">
        <v>121869</v>
      </c>
      <c r="H315">
        <v>188080</v>
      </c>
      <c r="I315">
        <v>120251</v>
      </c>
      <c r="J315" s="7">
        <f t="shared" si="12"/>
        <v>-29.549132282818984</v>
      </c>
      <c r="K315" s="7">
        <f t="shared" si="13"/>
        <v>-21.941643101223054</v>
      </c>
      <c r="L315" s="8">
        <f t="shared" si="14"/>
        <v>-21.99876107170541</v>
      </c>
      <c r="M315" s="2"/>
      <c r="N315" s="2"/>
    </row>
    <row r="316" spans="1:14" x14ac:dyDescent="0.2">
      <c r="A316" t="s">
        <v>352</v>
      </c>
      <c r="B316">
        <v>2</v>
      </c>
      <c r="C316" t="s">
        <v>353</v>
      </c>
      <c r="D316">
        <v>218858</v>
      </c>
      <c r="E316">
        <v>68840</v>
      </c>
      <c r="F316">
        <v>243553</v>
      </c>
      <c r="G316">
        <v>71999</v>
      </c>
      <c r="H316">
        <v>250807</v>
      </c>
      <c r="I316">
        <v>69690</v>
      </c>
      <c r="J316" s="7">
        <f t="shared" si="12"/>
        <v>-52.144262386252251</v>
      </c>
      <c r="K316" s="7">
        <f t="shared" si="13"/>
        <v>-54.366316803569617</v>
      </c>
      <c r="L316" s="8">
        <f t="shared" si="14"/>
        <v>-56.511293397442095</v>
      </c>
      <c r="M316" s="2"/>
      <c r="N316" s="2"/>
    </row>
    <row r="317" spans="1:14" x14ac:dyDescent="0.2">
      <c r="A317" t="s">
        <v>352</v>
      </c>
      <c r="B317">
        <v>3</v>
      </c>
      <c r="C317" t="s">
        <v>354</v>
      </c>
      <c r="D317">
        <v>185640</v>
      </c>
      <c r="E317">
        <v>65502</v>
      </c>
      <c r="F317">
        <v>196072</v>
      </c>
      <c r="G317">
        <v>76554</v>
      </c>
      <c r="H317">
        <v>196570</v>
      </c>
      <c r="I317">
        <v>73290</v>
      </c>
      <c r="J317" s="7">
        <f t="shared" si="12"/>
        <v>-47.836682036457461</v>
      </c>
      <c r="K317" s="7">
        <f t="shared" si="13"/>
        <v>-43.839545751322326</v>
      </c>
      <c r="L317" s="8">
        <f t="shared" si="14"/>
        <v>-45.682946713110503</v>
      </c>
      <c r="M317" s="2"/>
      <c r="N317" s="2"/>
    </row>
    <row r="318" spans="1:14" x14ac:dyDescent="0.2">
      <c r="A318" t="s">
        <v>352</v>
      </c>
      <c r="B318">
        <v>4</v>
      </c>
      <c r="C318" t="s">
        <v>355</v>
      </c>
      <c r="D318">
        <v>187343</v>
      </c>
      <c r="E318">
        <v>84978</v>
      </c>
      <c r="F318">
        <v>200480</v>
      </c>
      <c r="G318">
        <v>104049</v>
      </c>
      <c r="H318">
        <v>203961</v>
      </c>
      <c r="I318">
        <v>101433</v>
      </c>
      <c r="J318" s="7">
        <f t="shared" si="12"/>
        <v>-37.589829649567974</v>
      </c>
      <c r="K318" s="7">
        <f t="shared" si="13"/>
        <v>-31.665621336555795</v>
      </c>
      <c r="L318" s="8">
        <f t="shared" si="14"/>
        <v>-33.572368808817458</v>
      </c>
      <c r="M318" s="2"/>
      <c r="N318" s="2"/>
    </row>
    <row r="319" spans="1:14" x14ac:dyDescent="0.2">
      <c r="A319" t="s">
        <v>352</v>
      </c>
      <c r="B319">
        <v>5</v>
      </c>
      <c r="C319" t="s">
        <v>356</v>
      </c>
      <c r="D319">
        <v>177156</v>
      </c>
      <c r="E319">
        <v>102952</v>
      </c>
      <c r="F319">
        <v>189783</v>
      </c>
      <c r="G319">
        <v>129321</v>
      </c>
      <c r="H319">
        <v>196796</v>
      </c>
      <c r="I319">
        <v>134935</v>
      </c>
      <c r="J319" s="7">
        <f t="shared" si="12"/>
        <v>-26.491210533080096</v>
      </c>
      <c r="K319" s="7">
        <f t="shared" si="13"/>
        <v>-18.947427797833935</v>
      </c>
      <c r="L319" s="8">
        <f t="shared" si="14"/>
        <v>-18.647940650707952</v>
      </c>
      <c r="M319" s="2"/>
      <c r="N319" s="2"/>
    </row>
    <row r="320" spans="1:14" x14ac:dyDescent="0.2">
      <c r="A320" t="s">
        <v>358</v>
      </c>
      <c r="B320">
        <v>1</v>
      </c>
      <c r="C320" t="s">
        <v>357</v>
      </c>
      <c r="D320">
        <v>93494</v>
      </c>
      <c r="E320">
        <v>201859</v>
      </c>
      <c r="F320">
        <v>114006</v>
      </c>
      <c r="G320">
        <v>268214</v>
      </c>
      <c r="H320">
        <v>107307</v>
      </c>
      <c r="I320">
        <v>245702</v>
      </c>
      <c r="J320" s="7">
        <f t="shared" si="12"/>
        <v>36.689994684326891</v>
      </c>
      <c r="K320" s="7">
        <f t="shared" si="13"/>
        <v>40.345350845063052</v>
      </c>
      <c r="L320" s="8">
        <f t="shared" si="14"/>
        <v>39.204382891087761</v>
      </c>
      <c r="M320" s="2"/>
      <c r="N320" s="2"/>
    </row>
    <row r="321" spans="1:14" x14ac:dyDescent="0.2">
      <c r="A321" t="s">
        <v>358</v>
      </c>
      <c r="B321">
        <v>2</v>
      </c>
      <c r="C321" t="s">
        <v>359</v>
      </c>
      <c r="D321">
        <v>191558</v>
      </c>
      <c r="E321">
        <v>101573</v>
      </c>
      <c r="F321">
        <v>232087</v>
      </c>
      <c r="G321">
        <v>139358</v>
      </c>
      <c r="H321">
        <v>227486</v>
      </c>
      <c r="I321">
        <v>128140</v>
      </c>
      <c r="J321" s="7">
        <f t="shared" si="12"/>
        <v>-30.697879105246461</v>
      </c>
      <c r="K321" s="7">
        <f t="shared" si="13"/>
        <v>-24.964395805570138</v>
      </c>
      <c r="L321" s="8">
        <f t="shared" si="14"/>
        <v>-27.935527773559865</v>
      </c>
      <c r="M321" s="2"/>
      <c r="N321" s="2"/>
    </row>
    <row r="322" spans="1:14" x14ac:dyDescent="0.2">
      <c r="A322" t="s">
        <v>358</v>
      </c>
      <c r="B322">
        <v>3</v>
      </c>
      <c r="C322" t="s">
        <v>360</v>
      </c>
      <c r="D322">
        <v>77157</v>
      </c>
      <c r="E322">
        <v>220149</v>
      </c>
      <c r="F322">
        <v>97570</v>
      </c>
      <c r="G322">
        <v>280743</v>
      </c>
      <c r="H322">
        <v>88226</v>
      </c>
      <c r="I322">
        <v>248433</v>
      </c>
      <c r="J322" s="7">
        <f t="shared" si="12"/>
        <v>48.095901192710535</v>
      </c>
      <c r="K322" s="7">
        <f t="shared" si="13"/>
        <v>48.418373146045738</v>
      </c>
      <c r="L322" s="8">
        <f t="shared" si="14"/>
        <v>47.587321295435444</v>
      </c>
      <c r="M322" s="2"/>
      <c r="N322" s="2"/>
    </row>
    <row r="323" spans="1:14" x14ac:dyDescent="0.2">
      <c r="A323" t="s">
        <v>358</v>
      </c>
      <c r="B323">
        <v>4</v>
      </c>
      <c r="C323" t="s">
        <v>361</v>
      </c>
      <c r="D323">
        <v>143202</v>
      </c>
      <c r="E323">
        <v>171236</v>
      </c>
      <c r="F323">
        <v>172419</v>
      </c>
      <c r="G323">
        <v>224250</v>
      </c>
      <c r="H323">
        <v>164979</v>
      </c>
      <c r="I323">
        <v>211870</v>
      </c>
      <c r="J323" s="7">
        <f t="shared" si="12"/>
        <v>8.9155890827444519</v>
      </c>
      <c r="K323" s="7">
        <f t="shared" si="13"/>
        <v>13.066561793333989</v>
      </c>
      <c r="L323" s="8">
        <f t="shared" si="14"/>
        <v>12.442914801419136</v>
      </c>
      <c r="M323" s="2"/>
      <c r="N323" s="2"/>
    </row>
    <row r="324" spans="1:14" x14ac:dyDescent="0.2">
      <c r="A324" t="s">
        <v>358</v>
      </c>
      <c r="B324">
        <v>5</v>
      </c>
      <c r="C324" t="s">
        <v>362</v>
      </c>
      <c r="D324">
        <v>150955</v>
      </c>
      <c r="E324">
        <v>161170</v>
      </c>
      <c r="F324">
        <v>187863</v>
      </c>
      <c r="G324">
        <v>225605</v>
      </c>
      <c r="H324">
        <v>182440</v>
      </c>
      <c r="I324">
        <v>218398</v>
      </c>
      <c r="J324" s="7">
        <f t="shared" si="12"/>
        <v>3.2727272727272729</v>
      </c>
      <c r="K324" s="7">
        <f t="shared" si="13"/>
        <v>9.128155020461076</v>
      </c>
      <c r="L324" s="8">
        <f t="shared" si="14"/>
        <v>8.9707063701545255</v>
      </c>
      <c r="M324" s="2"/>
      <c r="N324" s="2"/>
    </row>
    <row r="325" spans="1:14" x14ac:dyDescent="0.2">
      <c r="A325" t="s">
        <v>358</v>
      </c>
      <c r="B325">
        <v>6</v>
      </c>
      <c r="C325" t="s">
        <v>363</v>
      </c>
      <c r="D325">
        <v>125952</v>
      </c>
      <c r="E325">
        <v>146088</v>
      </c>
      <c r="F325">
        <v>154402</v>
      </c>
      <c r="G325">
        <v>202166</v>
      </c>
      <c r="H325">
        <v>149147</v>
      </c>
      <c r="I325">
        <v>188844</v>
      </c>
      <c r="J325" s="7">
        <f t="shared" si="12"/>
        <v>7.401852668725188</v>
      </c>
      <c r="K325" s="7">
        <f t="shared" si="13"/>
        <v>13.395481366808015</v>
      </c>
      <c r="L325" s="8">
        <f t="shared" si="14"/>
        <v>11.744987292561044</v>
      </c>
      <c r="M325" s="2"/>
      <c r="N325" s="2"/>
    </row>
    <row r="326" spans="1:14" x14ac:dyDescent="0.2">
      <c r="A326" t="s">
        <v>365</v>
      </c>
      <c r="B326">
        <v>1</v>
      </c>
      <c r="C326" t="s">
        <v>364</v>
      </c>
      <c r="D326">
        <v>192333</v>
      </c>
      <c r="E326">
        <v>195176</v>
      </c>
      <c r="F326">
        <v>219862</v>
      </c>
      <c r="G326">
        <v>241481</v>
      </c>
      <c r="H326">
        <v>233597</v>
      </c>
      <c r="I326">
        <v>235100</v>
      </c>
      <c r="J326" s="7">
        <f t="shared" si="12"/>
        <v>0.73366037950086327</v>
      </c>
      <c r="K326" s="7">
        <f t="shared" si="13"/>
        <v>4.6861012305377994</v>
      </c>
      <c r="L326" s="8">
        <f t="shared" si="14"/>
        <v>0.32067625779554809</v>
      </c>
      <c r="M326" s="2"/>
      <c r="N326" s="2"/>
    </row>
    <row r="327" spans="1:14" x14ac:dyDescent="0.2">
      <c r="A327" t="s">
        <v>365</v>
      </c>
      <c r="B327">
        <v>2</v>
      </c>
      <c r="C327" t="s">
        <v>366</v>
      </c>
      <c r="D327">
        <v>72254</v>
      </c>
      <c r="E327">
        <v>218684</v>
      </c>
      <c r="F327">
        <v>88112</v>
      </c>
      <c r="G327">
        <v>221028</v>
      </c>
      <c r="H327">
        <v>93169</v>
      </c>
      <c r="I327">
        <v>198759</v>
      </c>
      <c r="J327" s="7">
        <f t="shared" si="12"/>
        <v>50.330310925351796</v>
      </c>
      <c r="K327" s="7">
        <f t="shared" si="13"/>
        <v>42.995406611891049</v>
      </c>
      <c r="L327" s="8">
        <f t="shared" si="14"/>
        <v>36.169877504042091</v>
      </c>
      <c r="M327" s="2"/>
      <c r="N327" s="2"/>
    </row>
    <row r="328" spans="1:14" x14ac:dyDescent="0.2">
      <c r="A328" t="s">
        <v>365</v>
      </c>
      <c r="B328">
        <v>3</v>
      </c>
      <c r="C328" t="s">
        <v>367</v>
      </c>
      <c r="D328">
        <v>30350</v>
      </c>
      <c r="E328">
        <v>340613</v>
      </c>
      <c r="F328">
        <v>36670</v>
      </c>
      <c r="G328">
        <v>357858</v>
      </c>
      <c r="H328">
        <v>42317</v>
      </c>
      <c r="I328">
        <v>346947</v>
      </c>
      <c r="J328" s="7">
        <f t="shared" si="12"/>
        <v>83.63718214485003</v>
      </c>
      <c r="K328" s="7">
        <f t="shared" si="13"/>
        <v>81.410698353475539</v>
      </c>
      <c r="L328" s="8">
        <f t="shared" si="14"/>
        <v>78.257943195363552</v>
      </c>
      <c r="M328" s="2"/>
      <c r="N328" s="2"/>
    </row>
    <row r="329" spans="1:14" x14ac:dyDescent="0.2">
      <c r="A329" t="s">
        <v>365</v>
      </c>
      <c r="B329">
        <v>4</v>
      </c>
      <c r="C329" t="s">
        <v>368</v>
      </c>
      <c r="D329">
        <v>160895</v>
      </c>
      <c r="E329">
        <v>215473</v>
      </c>
      <c r="F329">
        <v>182625</v>
      </c>
      <c r="G329">
        <v>269149</v>
      </c>
      <c r="H329">
        <v>194494</v>
      </c>
      <c r="I329">
        <v>268397</v>
      </c>
      <c r="J329" s="7">
        <f t="shared" si="12"/>
        <v>14.501232835947796</v>
      </c>
      <c r="K329" s="7">
        <f t="shared" si="13"/>
        <v>19.152053903057723</v>
      </c>
      <c r="L329" s="8">
        <f t="shared" si="14"/>
        <v>15.965529681933759</v>
      </c>
      <c r="M329" s="2"/>
      <c r="N329" s="2"/>
    </row>
    <row r="330" spans="1:14" x14ac:dyDescent="0.2">
      <c r="A330" t="s">
        <v>365</v>
      </c>
      <c r="B330">
        <v>5</v>
      </c>
      <c r="C330" t="s">
        <v>369</v>
      </c>
      <c r="D330">
        <v>128752</v>
      </c>
      <c r="E330">
        <v>238683</v>
      </c>
      <c r="F330">
        <v>140573</v>
      </c>
      <c r="G330">
        <v>276225</v>
      </c>
      <c r="H330">
        <v>147219</v>
      </c>
      <c r="I330">
        <v>267157</v>
      </c>
      <c r="J330" s="7">
        <f t="shared" si="12"/>
        <v>29.918488984446228</v>
      </c>
      <c r="K330" s="7">
        <f t="shared" si="13"/>
        <v>32.546221431004945</v>
      </c>
      <c r="L330" s="8">
        <f t="shared" si="14"/>
        <v>28.944243875127899</v>
      </c>
      <c r="M330" s="2"/>
      <c r="N330" s="2"/>
    </row>
    <row r="331" spans="1:14" x14ac:dyDescent="0.2">
      <c r="A331" t="s">
        <v>365</v>
      </c>
      <c r="B331">
        <v>6</v>
      </c>
      <c r="C331" t="s">
        <v>370</v>
      </c>
      <c r="D331">
        <v>156423</v>
      </c>
      <c r="E331">
        <v>188385</v>
      </c>
      <c r="F331">
        <v>174138</v>
      </c>
      <c r="G331">
        <v>235144</v>
      </c>
      <c r="H331">
        <v>186142</v>
      </c>
      <c r="I331">
        <v>234627</v>
      </c>
      <c r="J331" s="7">
        <f t="shared" si="12"/>
        <v>9.2695065079696519</v>
      </c>
      <c r="K331" s="7">
        <f t="shared" si="13"/>
        <v>14.905615199300238</v>
      </c>
      <c r="L331" s="8">
        <f t="shared" si="14"/>
        <v>11.522949646955931</v>
      </c>
      <c r="M331" s="2"/>
      <c r="N331" s="2"/>
    </row>
    <row r="332" spans="1:14" x14ac:dyDescent="0.2">
      <c r="A332" t="s">
        <v>365</v>
      </c>
      <c r="B332">
        <v>7</v>
      </c>
      <c r="C332" t="s">
        <v>371</v>
      </c>
      <c r="D332">
        <v>167939</v>
      </c>
      <c r="E332">
        <v>158280</v>
      </c>
      <c r="F332">
        <v>194638</v>
      </c>
      <c r="G332">
        <v>197111</v>
      </c>
      <c r="H332">
        <v>209881</v>
      </c>
      <c r="I332">
        <v>196712</v>
      </c>
      <c r="J332" s="7">
        <f t="shared" si="12"/>
        <v>-2.9608943685070459</v>
      </c>
      <c r="K332" s="7">
        <f t="shared" si="13"/>
        <v>0.63127155397971657</v>
      </c>
      <c r="L332" s="8">
        <f t="shared" si="14"/>
        <v>-3.2388654010275628</v>
      </c>
      <c r="M332" s="2"/>
      <c r="N332" s="2"/>
    </row>
    <row r="333" spans="1:14" x14ac:dyDescent="0.2">
      <c r="A333" t="s">
        <v>365</v>
      </c>
      <c r="B333">
        <v>8</v>
      </c>
      <c r="C333" t="s">
        <v>372</v>
      </c>
      <c r="D333">
        <v>174489</v>
      </c>
      <c r="E333">
        <v>147570</v>
      </c>
      <c r="F333">
        <v>194356</v>
      </c>
      <c r="G333">
        <v>183169</v>
      </c>
      <c r="H333">
        <v>210231</v>
      </c>
      <c r="I333">
        <v>177079</v>
      </c>
      <c r="J333" s="7">
        <f t="shared" si="12"/>
        <v>-8.3584063789554097</v>
      </c>
      <c r="K333" s="7">
        <f t="shared" si="13"/>
        <v>-2.9632474670551621</v>
      </c>
      <c r="L333" s="8">
        <f t="shared" si="14"/>
        <v>-8.5595517802277232</v>
      </c>
      <c r="M333" s="2"/>
      <c r="N333" s="2"/>
    </row>
    <row r="334" spans="1:14" x14ac:dyDescent="0.2">
      <c r="A334" t="s">
        <v>365</v>
      </c>
      <c r="B334">
        <v>9</v>
      </c>
      <c r="C334" t="s">
        <v>373</v>
      </c>
      <c r="D334">
        <v>228940</v>
      </c>
      <c r="E334">
        <v>95454</v>
      </c>
      <c r="F334">
        <v>260934</v>
      </c>
      <c r="G334">
        <v>119923</v>
      </c>
      <c r="H334">
        <v>272905</v>
      </c>
      <c r="I334">
        <v>121858</v>
      </c>
      <c r="J334" s="7">
        <f t="shared" si="12"/>
        <v>-41.149343082794381</v>
      </c>
      <c r="K334" s="7">
        <f t="shared" si="13"/>
        <v>-37.024657548633741</v>
      </c>
      <c r="L334" s="8">
        <f t="shared" si="14"/>
        <v>-38.262704458117909</v>
      </c>
      <c r="M334" s="2"/>
      <c r="N334" s="2"/>
    </row>
    <row r="335" spans="1:14" x14ac:dyDescent="0.2">
      <c r="A335" t="s">
        <v>365</v>
      </c>
      <c r="B335">
        <v>10</v>
      </c>
      <c r="C335" t="s">
        <v>374</v>
      </c>
      <c r="D335">
        <v>183679</v>
      </c>
      <c r="E335">
        <v>149150</v>
      </c>
      <c r="F335">
        <v>205155</v>
      </c>
      <c r="G335">
        <v>188639</v>
      </c>
      <c r="H335">
        <v>214275</v>
      </c>
      <c r="I335">
        <v>192789</v>
      </c>
      <c r="J335" s="7">
        <f t="shared" si="12"/>
        <v>-10.374396461846775</v>
      </c>
      <c r="K335" s="7">
        <f t="shared" si="13"/>
        <v>-4.1940710117472584</v>
      </c>
      <c r="L335" s="8">
        <f t="shared" si="14"/>
        <v>-5.2782854784505631</v>
      </c>
      <c r="M335" s="2"/>
      <c r="N335" s="2"/>
    </row>
    <row r="336" spans="1:14" x14ac:dyDescent="0.2">
      <c r="A336" t="s">
        <v>365</v>
      </c>
      <c r="B336">
        <v>11</v>
      </c>
      <c r="C336" t="s">
        <v>375</v>
      </c>
      <c r="D336">
        <v>206060</v>
      </c>
      <c r="E336">
        <v>119052</v>
      </c>
      <c r="F336">
        <v>237720</v>
      </c>
      <c r="G336">
        <v>153308</v>
      </c>
      <c r="H336">
        <v>248335</v>
      </c>
      <c r="I336">
        <v>160185</v>
      </c>
      <c r="J336" s="7">
        <f t="shared" si="12"/>
        <v>-26.762469548955437</v>
      </c>
      <c r="K336" s="7">
        <f t="shared" si="13"/>
        <v>-21.587200916558405</v>
      </c>
      <c r="L336" s="8">
        <f t="shared" si="14"/>
        <v>-21.577890923333008</v>
      </c>
      <c r="M336" s="2"/>
      <c r="N336" s="2"/>
    </row>
    <row r="337" spans="1:14" x14ac:dyDescent="0.2">
      <c r="A337" t="s">
        <v>365</v>
      </c>
      <c r="B337">
        <v>12</v>
      </c>
      <c r="C337" t="s">
        <v>376</v>
      </c>
      <c r="D337">
        <v>156199</v>
      </c>
      <c r="E337">
        <v>225151</v>
      </c>
      <c r="F337">
        <v>169568</v>
      </c>
      <c r="G337">
        <v>255330</v>
      </c>
      <c r="H337">
        <v>171396</v>
      </c>
      <c r="I337">
        <v>253683</v>
      </c>
      <c r="J337" s="7">
        <f t="shared" si="12"/>
        <v>18.081027927101086</v>
      </c>
      <c r="K337" s="7">
        <f t="shared" si="13"/>
        <v>20.184138310841661</v>
      </c>
      <c r="L337" s="8">
        <f t="shared" si="14"/>
        <v>19.35804873917554</v>
      </c>
      <c r="M337" s="2"/>
      <c r="N337" s="2"/>
    </row>
    <row r="338" spans="1:14" x14ac:dyDescent="0.2">
      <c r="A338" t="s">
        <v>365</v>
      </c>
      <c r="B338">
        <v>13</v>
      </c>
      <c r="C338" t="s">
        <v>377</v>
      </c>
      <c r="D338">
        <v>247583</v>
      </c>
      <c r="E338">
        <v>87350</v>
      </c>
      <c r="F338">
        <v>288112</v>
      </c>
      <c r="G338">
        <v>107211</v>
      </c>
      <c r="H338">
        <v>298896</v>
      </c>
      <c r="I338">
        <v>110793</v>
      </c>
      <c r="J338" s="7">
        <f t="shared" si="12"/>
        <v>-47.840314331523018</v>
      </c>
      <c r="K338" s="7">
        <f t="shared" si="13"/>
        <v>-45.760302335052607</v>
      </c>
      <c r="L338" s="8">
        <f t="shared" si="14"/>
        <v>-45.913607638965168</v>
      </c>
      <c r="M338" s="2"/>
      <c r="N338" s="2"/>
    </row>
    <row r="339" spans="1:14" x14ac:dyDescent="0.2">
      <c r="A339" t="s">
        <v>365</v>
      </c>
      <c r="B339">
        <v>14</v>
      </c>
      <c r="C339" t="s">
        <v>378</v>
      </c>
      <c r="D339">
        <v>233603</v>
      </c>
      <c r="E339">
        <v>117359</v>
      </c>
      <c r="F339">
        <v>268658</v>
      </c>
      <c r="G339">
        <v>138882</v>
      </c>
      <c r="H339">
        <v>279264</v>
      </c>
      <c r="I339">
        <v>138822</v>
      </c>
      <c r="J339" s="7">
        <f t="shared" si="12"/>
        <v>-33.121534525105282</v>
      </c>
      <c r="K339" s="7">
        <f t="shared" si="13"/>
        <v>-31.843745399224616</v>
      </c>
      <c r="L339" s="8">
        <f t="shared" si="14"/>
        <v>-33.591653391885878</v>
      </c>
      <c r="M339" s="2"/>
      <c r="N339" s="2"/>
    </row>
    <row r="340" spans="1:14" x14ac:dyDescent="0.2">
      <c r="A340" t="s">
        <v>365</v>
      </c>
      <c r="B340">
        <v>15</v>
      </c>
      <c r="C340" t="s">
        <v>379</v>
      </c>
      <c r="D340">
        <v>228652</v>
      </c>
      <c r="E340">
        <v>102917</v>
      </c>
      <c r="F340">
        <v>263000</v>
      </c>
      <c r="G340">
        <v>119460</v>
      </c>
      <c r="H340">
        <v>272777</v>
      </c>
      <c r="I340">
        <v>121641</v>
      </c>
      <c r="J340" s="7">
        <f t="shared" ref="J340:J403" si="15">(E340-D340)/(E340+D340)*100</f>
        <v>-37.921217001589412</v>
      </c>
      <c r="K340" s="7">
        <f t="shared" ref="K340:K403" si="16">(G340-F340)/(G340+F340)*100</f>
        <v>-37.530722167024003</v>
      </c>
      <c r="L340" s="8">
        <f t="shared" ref="L340:L403" si="17">(I340-H340)/(I340+H340)*100</f>
        <v>-38.318737988631355</v>
      </c>
      <c r="M340" s="2"/>
      <c r="N340" s="2"/>
    </row>
    <row r="341" spans="1:14" x14ac:dyDescent="0.2">
      <c r="A341" t="s">
        <v>365</v>
      </c>
      <c r="B341">
        <v>16</v>
      </c>
      <c r="C341" t="s">
        <v>380</v>
      </c>
      <c r="D341">
        <v>212593</v>
      </c>
      <c r="E341">
        <v>132828</v>
      </c>
      <c r="F341">
        <v>242646</v>
      </c>
      <c r="G341">
        <v>158725</v>
      </c>
      <c r="H341">
        <v>254618</v>
      </c>
      <c r="I341">
        <v>159531</v>
      </c>
      <c r="J341" s="7">
        <f t="shared" si="15"/>
        <v>-23.092110786547433</v>
      </c>
      <c r="K341" s="7">
        <f t="shared" si="16"/>
        <v>-20.908585822094768</v>
      </c>
      <c r="L341" s="8">
        <f t="shared" si="17"/>
        <v>-22.959611154439585</v>
      </c>
      <c r="M341" s="2"/>
      <c r="N341" s="2"/>
    </row>
    <row r="342" spans="1:14" x14ac:dyDescent="0.2">
      <c r="A342" t="s">
        <v>365</v>
      </c>
      <c r="B342">
        <v>17</v>
      </c>
      <c r="C342" t="s">
        <v>381</v>
      </c>
      <c r="D342">
        <v>190088</v>
      </c>
      <c r="E342">
        <v>194214</v>
      </c>
      <c r="F342">
        <v>211270</v>
      </c>
      <c r="G342">
        <v>237704</v>
      </c>
      <c r="H342">
        <v>213792</v>
      </c>
      <c r="I342">
        <v>238962</v>
      </c>
      <c r="J342" s="7">
        <f t="shared" si="15"/>
        <v>1.0736347976331115</v>
      </c>
      <c r="K342" s="7">
        <f t="shared" si="16"/>
        <v>5.8876460552281422</v>
      </c>
      <c r="L342" s="8">
        <f t="shared" si="17"/>
        <v>5.5593103539670548</v>
      </c>
      <c r="M342" s="2"/>
      <c r="N342" s="2"/>
    </row>
    <row r="343" spans="1:14" x14ac:dyDescent="0.2">
      <c r="A343" t="s">
        <v>383</v>
      </c>
      <c r="B343">
        <v>1</v>
      </c>
      <c r="C343" t="s">
        <v>382</v>
      </c>
      <c r="D343">
        <v>75207</v>
      </c>
      <c r="E343">
        <v>129287</v>
      </c>
      <c r="F343">
        <v>83272</v>
      </c>
      <c r="G343">
        <v>153193</v>
      </c>
      <c r="H343">
        <v>88795</v>
      </c>
      <c r="I343">
        <v>140828</v>
      </c>
      <c r="J343" s="7">
        <f t="shared" si="15"/>
        <v>26.445763689888214</v>
      </c>
      <c r="K343" s="7">
        <f t="shared" si="16"/>
        <v>29.569280866090118</v>
      </c>
      <c r="L343" s="8">
        <f t="shared" si="17"/>
        <v>22.660186479577394</v>
      </c>
      <c r="M343" s="2"/>
      <c r="N343" s="2"/>
    </row>
    <row r="344" spans="1:14" x14ac:dyDescent="0.2">
      <c r="A344" t="s">
        <v>383</v>
      </c>
      <c r="B344">
        <v>2</v>
      </c>
      <c r="C344" t="s">
        <v>384</v>
      </c>
      <c r="D344">
        <v>105308</v>
      </c>
      <c r="E344">
        <v>123228</v>
      </c>
      <c r="F344">
        <v>116625</v>
      </c>
      <c r="G344">
        <v>154314</v>
      </c>
      <c r="H344">
        <v>125611</v>
      </c>
      <c r="I344">
        <v>144328</v>
      </c>
      <c r="J344" s="7">
        <f t="shared" si="15"/>
        <v>7.8412153883852005</v>
      </c>
      <c r="K344" s="7">
        <f t="shared" si="16"/>
        <v>13.910511222083199</v>
      </c>
      <c r="L344" s="8">
        <f t="shared" si="17"/>
        <v>6.9337887448645805</v>
      </c>
      <c r="M344" s="2"/>
      <c r="N344" s="2"/>
    </row>
    <row r="345" spans="1:14" x14ac:dyDescent="0.2">
      <c r="A345" t="s">
        <v>386</v>
      </c>
      <c r="B345">
        <v>1</v>
      </c>
      <c r="C345" t="s">
        <v>385</v>
      </c>
      <c r="D345">
        <v>161774</v>
      </c>
      <c r="E345">
        <v>118032</v>
      </c>
      <c r="F345">
        <v>204693</v>
      </c>
      <c r="G345">
        <v>171641</v>
      </c>
      <c r="H345">
        <v>222767</v>
      </c>
      <c r="I345">
        <v>170913</v>
      </c>
      <c r="J345" s="7">
        <f t="shared" si="15"/>
        <v>-15.632974275033416</v>
      </c>
      <c r="K345" s="7">
        <f t="shared" si="16"/>
        <v>-8.7826239457503181</v>
      </c>
      <c r="L345" s="8">
        <f t="shared" si="17"/>
        <v>-13.171611461085146</v>
      </c>
      <c r="M345" s="2"/>
      <c r="N345" s="2"/>
    </row>
    <row r="346" spans="1:14" x14ac:dyDescent="0.2">
      <c r="A346" t="s">
        <v>386</v>
      </c>
      <c r="B346">
        <v>2</v>
      </c>
      <c r="C346" t="s">
        <v>387</v>
      </c>
      <c r="D346">
        <v>175112</v>
      </c>
      <c r="E346">
        <v>121724</v>
      </c>
      <c r="F346">
        <v>199631</v>
      </c>
      <c r="G346">
        <v>161161</v>
      </c>
      <c r="H346">
        <v>205609</v>
      </c>
      <c r="I346">
        <v>154676</v>
      </c>
      <c r="J346" s="7">
        <f t="shared" si="15"/>
        <v>-17.985689067363797</v>
      </c>
      <c r="K346" s="7">
        <f t="shared" si="16"/>
        <v>-10.662653273908512</v>
      </c>
      <c r="L346" s="8">
        <f t="shared" si="17"/>
        <v>-14.136863871657161</v>
      </c>
      <c r="M346" s="2"/>
      <c r="N346" s="2"/>
    </row>
    <row r="347" spans="1:14" x14ac:dyDescent="0.2">
      <c r="A347" t="s">
        <v>386</v>
      </c>
      <c r="B347">
        <v>3</v>
      </c>
      <c r="C347" t="s">
        <v>388</v>
      </c>
      <c r="D347">
        <v>198534</v>
      </c>
      <c r="E347">
        <v>86559</v>
      </c>
      <c r="F347">
        <v>236768</v>
      </c>
      <c r="G347">
        <v>106636</v>
      </c>
      <c r="H347">
        <v>252653</v>
      </c>
      <c r="I347">
        <v>99185</v>
      </c>
      <c r="J347" s="7">
        <f t="shared" si="15"/>
        <v>-39.27665709084404</v>
      </c>
      <c r="K347" s="7">
        <f t="shared" si="16"/>
        <v>-37.894724580960037</v>
      </c>
      <c r="L347" s="8">
        <f t="shared" si="17"/>
        <v>-43.61893826135892</v>
      </c>
      <c r="M347" s="2"/>
      <c r="N347" s="2"/>
    </row>
    <row r="348" spans="1:14" x14ac:dyDescent="0.2">
      <c r="A348" t="s">
        <v>386</v>
      </c>
      <c r="B348">
        <v>4</v>
      </c>
      <c r="C348" t="s">
        <v>389</v>
      </c>
      <c r="D348">
        <v>171445</v>
      </c>
      <c r="E348">
        <v>102141</v>
      </c>
      <c r="F348">
        <v>202744</v>
      </c>
      <c r="G348">
        <v>137947</v>
      </c>
      <c r="H348">
        <v>216081</v>
      </c>
      <c r="I348">
        <v>132541</v>
      </c>
      <c r="J348" s="7">
        <f t="shared" si="15"/>
        <v>-25.331705569729447</v>
      </c>
      <c r="K348" s="7">
        <f t="shared" si="16"/>
        <v>-19.019287272044171</v>
      </c>
      <c r="L348" s="8">
        <f t="shared" si="17"/>
        <v>-23.962916855505391</v>
      </c>
      <c r="M348" s="2"/>
      <c r="N348" s="2"/>
    </row>
    <row r="349" spans="1:14" x14ac:dyDescent="0.2">
      <c r="A349" t="s">
        <v>386</v>
      </c>
      <c r="B349">
        <v>5</v>
      </c>
      <c r="C349" t="s">
        <v>390</v>
      </c>
      <c r="D349">
        <v>175627</v>
      </c>
      <c r="E349">
        <v>114455</v>
      </c>
      <c r="F349">
        <v>213498</v>
      </c>
      <c r="G349">
        <v>147150</v>
      </c>
      <c r="H349">
        <v>226471</v>
      </c>
      <c r="I349">
        <v>141507</v>
      </c>
      <c r="J349" s="7">
        <f t="shared" si="15"/>
        <v>-21.08783033762867</v>
      </c>
      <c r="K349" s="7">
        <f t="shared" si="16"/>
        <v>-18.396885605909365</v>
      </c>
      <c r="L349" s="8">
        <f t="shared" si="17"/>
        <v>-23.089423824250364</v>
      </c>
      <c r="M349" s="2"/>
      <c r="N349" s="2"/>
    </row>
    <row r="350" spans="1:14" x14ac:dyDescent="0.2">
      <c r="A350" t="s">
        <v>386</v>
      </c>
      <c r="B350">
        <v>6</v>
      </c>
      <c r="C350" t="s">
        <v>391</v>
      </c>
      <c r="D350">
        <v>98811</v>
      </c>
      <c r="E350">
        <v>195135</v>
      </c>
      <c r="F350">
        <v>112098</v>
      </c>
      <c r="G350">
        <v>219674</v>
      </c>
      <c r="H350">
        <v>119120</v>
      </c>
      <c r="I350">
        <v>189949</v>
      </c>
      <c r="J350" s="7">
        <f t="shared" si="15"/>
        <v>32.769284154232409</v>
      </c>
      <c r="K350" s="7">
        <f t="shared" si="16"/>
        <v>32.424677187948348</v>
      </c>
      <c r="L350" s="8">
        <f t="shared" si="17"/>
        <v>22.916889108904485</v>
      </c>
      <c r="M350" s="2"/>
      <c r="N350" s="2"/>
    </row>
    <row r="351" spans="1:14" x14ac:dyDescent="0.2">
      <c r="A351" t="s">
        <v>386</v>
      </c>
      <c r="B351">
        <v>7</v>
      </c>
      <c r="C351" t="s">
        <v>392</v>
      </c>
      <c r="D351">
        <v>174073</v>
      </c>
      <c r="E351">
        <v>117322</v>
      </c>
      <c r="F351">
        <v>215658</v>
      </c>
      <c r="G351">
        <v>147324</v>
      </c>
      <c r="H351">
        <v>241046</v>
      </c>
      <c r="I351">
        <v>139681</v>
      </c>
      <c r="J351" s="7">
        <f t="shared" si="15"/>
        <v>-19.475625868666242</v>
      </c>
      <c r="K351" s="7">
        <f t="shared" si="16"/>
        <v>-18.825726895548538</v>
      </c>
      <c r="L351" s="8">
        <f t="shared" si="17"/>
        <v>-26.624063961841426</v>
      </c>
      <c r="M351" s="2"/>
      <c r="N351" s="2"/>
    </row>
    <row r="352" spans="1:14" x14ac:dyDescent="0.2">
      <c r="A352" t="s">
        <v>394</v>
      </c>
      <c r="B352">
        <v>1</v>
      </c>
      <c r="C352" t="s">
        <v>393</v>
      </c>
      <c r="D352">
        <v>227721</v>
      </c>
      <c r="E352">
        <v>117458</v>
      </c>
      <c r="F352">
        <v>261043</v>
      </c>
      <c r="G352">
        <v>150471</v>
      </c>
      <c r="H352">
        <v>272081</v>
      </c>
      <c r="I352">
        <v>146859</v>
      </c>
      <c r="J352" s="7">
        <f t="shared" si="15"/>
        <v>-31.9437161588625</v>
      </c>
      <c r="K352" s="7">
        <f t="shared" si="16"/>
        <v>-26.869559723362997</v>
      </c>
      <c r="L352" s="8">
        <f t="shared" si="17"/>
        <v>-29.890199073853058</v>
      </c>
      <c r="M352" s="2"/>
      <c r="N352" s="2"/>
    </row>
    <row r="353" spans="1:14" x14ac:dyDescent="0.2">
      <c r="A353" t="s">
        <v>396</v>
      </c>
      <c r="B353">
        <v>1</v>
      </c>
      <c r="C353" t="s">
        <v>395</v>
      </c>
      <c r="D353">
        <v>214618</v>
      </c>
      <c r="E353">
        <v>54690</v>
      </c>
      <c r="F353">
        <v>256469</v>
      </c>
      <c r="G353">
        <v>73910</v>
      </c>
      <c r="H353">
        <v>273119</v>
      </c>
      <c r="I353">
        <v>71641</v>
      </c>
      <c r="J353" s="7">
        <f t="shared" si="15"/>
        <v>-59.384793619201801</v>
      </c>
      <c r="K353" s="7">
        <f t="shared" si="16"/>
        <v>-55.257446750550123</v>
      </c>
      <c r="L353" s="8">
        <f t="shared" si="17"/>
        <v>-58.440074254553899</v>
      </c>
      <c r="M353" s="2"/>
      <c r="N353" s="2"/>
    </row>
    <row r="354" spans="1:14" x14ac:dyDescent="0.2">
      <c r="A354" t="s">
        <v>396</v>
      </c>
      <c r="B354">
        <v>2</v>
      </c>
      <c r="C354" t="s">
        <v>397</v>
      </c>
      <c r="D354">
        <v>186878</v>
      </c>
      <c r="E354">
        <v>85154</v>
      </c>
      <c r="F354">
        <v>226799</v>
      </c>
      <c r="G354">
        <v>122672</v>
      </c>
      <c r="H354">
        <v>242988</v>
      </c>
      <c r="I354">
        <v>118782</v>
      </c>
      <c r="J354" s="7">
        <f t="shared" si="15"/>
        <v>-37.394130102340903</v>
      </c>
      <c r="K354" s="7">
        <f t="shared" si="16"/>
        <v>-29.795605357812239</v>
      </c>
      <c r="L354" s="8">
        <f t="shared" si="17"/>
        <v>-34.332863421510908</v>
      </c>
      <c r="M354" s="2"/>
      <c r="N354" s="2"/>
    </row>
    <row r="355" spans="1:14" x14ac:dyDescent="0.2">
      <c r="A355" t="s">
        <v>396</v>
      </c>
      <c r="B355">
        <v>3</v>
      </c>
      <c r="C355" t="s">
        <v>398</v>
      </c>
      <c r="D355">
        <v>188421</v>
      </c>
      <c r="E355">
        <v>86412</v>
      </c>
      <c r="F355">
        <v>226410</v>
      </c>
      <c r="G355">
        <v>115257</v>
      </c>
      <c r="H355">
        <v>243122</v>
      </c>
      <c r="I355">
        <v>113481</v>
      </c>
      <c r="J355" s="7">
        <f t="shared" si="15"/>
        <v>-37.11672179105129</v>
      </c>
      <c r="K355" s="7">
        <f t="shared" si="16"/>
        <v>-32.532553626776952</v>
      </c>
      <c r="L355" s="8">
        <f t="shared" si="17"/>
        <v>-36.354433361469198</v>
      </c>
      <c r="M355" s="2"/>
      <c r="N355" s="2"/>
    </row>
    <row r="356" spans="1:14" x14ac:dyDescent="0.2">
      <c r="A356" t="s">
        <v>396</v>
      </c>
      <c r="B356">
        <v>4</v>
      </c>
      <c r="C356" t="s">
        <v>399</v>
      </c>
      <c r="D356">
        <v>175852</v>
      </c>
      <c r="E356">
        <v>69897</v>
      </c>
      <c r="F356">
        <v>220408</v>
      </c>
      <c r="G356">
        <v>97846</v>
      </c>
      <c r="H356">
        <v>239838</v>
      </c>
      <c r="I356">
        <v>93024</v>
      </c>
      <c r="J356" s="7">
        <f t="shared" si="15"/>
        <v>-43.115129664820614</v>
      </c>
      <c r="K356" s="7">
        <f t="shared" si="16"/>
        <v>-38.510749275735733</v>
      </c>
      <c r="L356" s="8">
        <f t="shared" si="17"/>
        <v>-44.106566685293004</v>
      </c>
      <c r="M356" s="2"/>
      <c r="N356" s="2"/>
    </row>
    <row r="357" spans="1:14" x14ac:dyDescent="0.2">
      <c r="A357" t="s">
        <v>396</v>
      </c>
      <c r="B357">
        <v>5</v>
      </c>
      <c r="C357" t="s">
        <v>400</v>
      </c>
      <c r="D357">
        <v>160614</v>
      </c>
      <c r="E357">
        <v>111304</v>
      </c>
      <c r="F357">
        <v>198644</v>
      </c>
      <c r="G357">
        <v>157587</v>
      </c>
      <c r="H357">
        <v>215598</v>
      </c>
      <c r="I357">
        <v>148953</v>
      </c>
      <c r="J357" s="7">
        <f t="shared" si="15"/>
        <v>-18.134143381460589</v>
      </c>
      <c r="K357" s="7">
        <f t="shared" si="16"/>
        <v>-11.525386617110806</v>
      </c>
      <c r="L357" s="8">
        <f t="shared" si="17"/>
        <v>-18.281392726943555</v>
      </c>
      <c r="M357" s="2"/>
      <c r="N357" s="2"/>
    </row>
    <row r="358" spans="1:14" x14ac:dyDescent="0.2">
      <c r="A358" t="s">
        <v>396</v>
      </c>
      <c r="B358">
        <v>6</v>
      </c>
      <c r="C358" t="s">
        <v>401</v>
      </c>
      <c r="D358">
        <v>176328</v>
      </c>
      <c r="E358">
        <v>88125</v>
      </c>
      <c r="F358">
        <v>221423</v>
      </c>
      <c r="G358">
        <v>119825</v>
      </c>
      <c r="H358">
        <v>241384</v>
      </c>
      <c r="I358">
        <v>115402</v>
      </c>
      <c r="J358" s="7">
        <f t="shared" si="15"/>
        <v>-33.35299656271625</v>
      </c>
      <c r="K358" s="7">
        <f t="shared" si="16"/>
        <v>-29.772482183045764</v>
      </c>
      <c r="L358" s="8">
        <f t="shared" si="17"/>
        <v>-35.310241993800204</v>
      </c>
      <c r="M358" s="2"/>
      <c r="N358" s="2"/>
    </row>
    <row r="359" spans="1:14" x14ac:dyDescent="0.2">
      <c r="A359" t="s">
        <v>396</v>
      </c>
      <c r="B359">
        <v>7</v>
      </c>
      <c r="C359" t="s">
        <v>402</v>
      </c>
      <c r="D359">
        <v>143852</v>
      </c>
      <c r="E359">
        <v>99284</v>
      </c>
      <c r="F359">
        <v>185613</v>
      </c>
      <c r="G359">
        <v>135535</v>
      </c>
      <c r="H359">
        <v>202528</v>
      </c>
      <c r="I359">
        <v>127832</v>
      </c>
      <c r="J359" s="7">
        <f t="shared" si="15"/>
        <v>-18.330481705712028</v>
      </c>
      <c r="K359" s="7">
        <f t="shared" si="16"/>
        <v>-15.593433557113853</v>
      </c>
      <c r="L359" s="8">
        <f t="shared" si="17"/>
        <v>-22.610485530935946</v>
      </c>
      <c r="M359" s="2"/>
      <c r="N359" s="2"/>
    </row>
    <row r="360" spans="1:14" x14ac:dyDescent="0.2">
      <c r="A360" t="s">
        <v>396</v>
      </c>
      <c r="B360">
        <v>8</v>
      </c>
      <c r="C360" t="s">
        <v>403</v>
      </c>
      <c r="D360">
        <v>211679</v>
      </c>
      <c r="E360">
        <v>89862</v>
      </c>
      <c r="F360">
        <v>243858</v>
      </c>
      <c r="G360">
        <v>109907</v>
      </c>
      <c r="H360">
        <v>243930</v>
      </c>
      <c r="I360">
        <v>100646</v>
      </c>
      <c r="J360" s="7">
        <f t="shared" si="15"/>
        <v>-40.398154811451839</v>
      </c>
      <c r="K360" s="7">
        <f t="shared" si="16"/>
        <v>-37.864401509476629</v>
      </c>
      <c r="L360" s="8">
        <f t="shared" si="17"/>
        <v>-41.582698736998516</v>
      </c>
      <c r="M360" s="2"/>
      <c r="N360" s="2"/>
    </row>
    <row r="361" spans="1:14" x14ac:dyDescent="0.2">
      <c r="A361" t="s">
        <v>396</v>
      </c>
      <c r="B361">
        <v>9</v>
      </c>
      <c r="C361" t="s">
        <v>404</v>
      </c>
      <c r="D361">
        <v>64153</v>
      </c>
      <c r="E361">
        <v>184326</v>
      </c>
      <c r="F361">
        <v>72282</v>
      </c>
      <c r="G361">
        <v>209759</v>
      </c>
      <c r="H361">
        <v>64358</v>
      </c>
      <c r="I361">
        <v>166505</v>
      </c>
      <c r="J361" s="7">
        <f t="shared" si="15"/>
        <v>48.363443188357969</v>
      </c>
      <c r="K361" s="7">
        <f t="shared" si="16"/>
        <v>48.743622381143162</v>
      </c>
      <c r="L361" s="8">
        <f t="shared" si="17"/>
        <v>44.245721488501836</v>
      </c>
      <c r="M361" s="2"/>
      <c r="N361" s="2"/>
    </row>
    <row r="362" spans="1:14" x14ac:dyDescent="0.2">
      <c r="A362" t="s">
        <v>406</v>
      </c>
      <c r="B362">
        <v>1</v>
      </c>
      <c r="C362" t="s">
        <v>405</v>
      </c>
      <c r="D362">
        <v>201793</v>
      </c>
      <c r="E362">
        <v>71388</v>
      </c>
      <c r="F362">
        <v>231048</v>
      </c>
      <c r="G362">
        <v>89143</v>
      </c>
      <c r="H362">
        <v>241942</v>
      </c>
      <c r="I362">
        <v>80850</v>
      </c>
      <c r="J362" s="7">
        <f t="shared" si="15"/>
        <v>-47.735750290100704</v>
      </c>
      <c r="K362" s="7">
        <f t="shared" si="16"/>
        <v>-44.318859680628123</v>
      </c>
      <c r="L362" s="8">
        <f t="shared" si="17"/>
        <v>-49.905821705618479</v>
      </c>
      <c r="M362" s="2"/>
      <c r="N362" s="2"/>
    </row>
    <row r="363" spans="1:14" x14ac:dyDescent="0.2">
      <c r="A363" t="s">
        <v>406</v>
      </c>
      <c r="B363">
        <v>2</v>
      </c>
      <c r="C363" t="s">
        <v>407</v>
      </c>
      <c r="D363">
        <v>162725</v>
      </c>
      <c r="E363">
        <v>83902</v>
      </c>
      <c r="F363">
        <v>198586</v>
      </c>
      <c r="G363">
        <v>127510</v>
      </c>
      <c r="H363">
        <v>204811</v>
      </c>
      <c r="I363">
        <v>127854</v>
      </c>
      <c r="J363" s="7">
        <f t="shared" si="15"/>
        <v>-31.960409849692045</v>
      </c>
      <c r="K363" s="7">
        <f t="shared" si="16"/>
        <v>-21.796035523281489</v>
      </c>
      <c r="L363" s="8">
        <f t="shared" si="17"/>
        <v>-23.133482632678522</v>
      </c>
      <c r="M363" s="2"/>
      <c r="N363" s="2"/>
    </row>
    <row r="364" spans="1:14" x14ac:dyDescent="0.2">
      <c r="A364" t="s">
        <v>406</v>
      </c>
      <c r="B364">
        <v>3</v>
      </c>
      <c r="C364" t="s">
        <v>408</v>
      </c>
      <c r="D364">
        <v>157174</v>
      </c>
      <c r="E364">
        <v>84177</v>
      </c>
      <c r="F364">
        <v>195871</v>
      </c>
      <c r="G364">
        <v>136761</v>
      </c>
      <c r="H364">
        <v>223427</v>
      </c>
      <c r="I364">
        <v>136992</v>
      </c>
      <c r="J364" s="7">
        <f t="shared" si="15"/>
        <v>-30.245161611097533</v>
      </c>
      <c r="K364" s="7">
        <f t="shared" si="16"/>
        <v>-17.770388898241901</v>
      </c>
      <c r="L364" s="8">
        <f t="shared" si="17"/>
        <v>-23.981810059957994</v>
      </c>
      <c r="M364" s="2"/>
      <c r="N364" s="2"/>
    </row>
    <row r="365" spans="1:14" x14ac:dyDescent="0.2">
      <c r="A365" t="s">
        <v>406</v>
      </c>
      <c r="B365">
        <v>4</v>
      </c>
      <c r="C365" t="s">
        <v>409</v>
      </c>
      <c r="D365">
        <v>166233</v>
      </c>
      <c r="E365">
        <v>91498</v>
      </c>
      <c r="F365">
        <v>207432</v>
      </c>
      <c r="G365">
        <v>143877</v>
      </c>
      <c r="H365">
        <v>225235</v>
      </c>
      <c r="I365">
        <v>134682</v>
      </c>
      <c r="J365" s="7">
        <f t="shared" si="15"/>
        <v>-28.997287869910878</v>
      </c>
      <c r="K365" s="7">
        <f t="shared" si="16"/>
        <v>-18.090911419861147</v>
      </c>
      <c r="L365" s="8">
        <f t="shared" si="17"/>
        <v>-25.159411753265339</v>
      </c>
      <c r="M365" s="2"/>
      <c r="N365" s="2"/>
    </row>
    <row r="366" spans="1:14" x14ac:dyDescent="0.2">
      <c r="A366" t="s">
        <v>406</v>
      </c>
      <c r="B366">
        <v>5</v>
      </c>
      <c r="C366" t="s">
        <v>410</v>
      </c>
      <c r="D366">
        <v>139887</v>
      </c>
      <c r="E366">
        <v>85908</v>
      </c>
      <c r="F366">
        <v>163853</v>
      </c>
      <c r="G366">
        <v>117612</v>
      </c>
      <c r="H366">
        <v>176352</v>
      </c>
      <c r="I366">
        <v>113124</v>
      </c>
      <c r="J366" s="7">
        <f t="shared" si="15"/>
        <v>-23.906198100046502</v>
      </c>
      <c r="K366" s="7">
        <f t="shared" si="16"/>
        <v>-16.42868562698737</v>
      </c>
      <c r="L366" s="8">
        <f t="shared" si="17"/>
        <v>-21.842225262197903</v>
      </c>
      <c r="M366" s="2"/>
      <c r="N366" s="2"/>
    </row>
    <row r="367" spans="1:14" x14ac:dyDescent="0.2">
      <c r="A367" t="s">
        <v>406</v>
      </c>
      <c r="B367">
        <v>6</v>
      </c>
      <c r="C367" t="s">
        <v>411</v>
      </c>
      <c r="D367">
        <v>150002</v>
      </c>
      <c r="E367">
        <v>81387</v>
      </c>
      <c r="F367">
        <v>176747</v>
      </c>
      <c r="G367">
        <v>118506</v>
      </c>
      <c r="H367">
        <v>187669</v>
      </c>
      <c r="I367">
        <v>116800</v>
      </c>
      <c r="J367" s="7">
        <f t="shared" si="15"/>
        <v>-29.653527177177825</v>
      </c>
      <c r="K367" s="7">
        <f t="shared" si="16"/>
        <v>-19.725794488116971</v>
      </c>
      <c r="L367" s="8">
        <f t="shared" si="17"/>
        <v>-23.276261294253274</v>
      </c>
      <c r="M367" s="2"/>
      <c r="N367" s="2"/>
    </row>
    <row r="368" spans="1:14" x14ac:dyDescent="0.2">
      <c r="A368" t="s">
        <v>406</v>
      </c>
      <c r="B368">
        <v>7</v>
      </c>
      <c r="C368" t="s">
        <v>412</v>
      </c>
      <c r="D368">
        <v>68106</v>
      </c>
      <c r="E368">
        <v>136788</v>
      </c>
      <c r="F368">
        <v>92917</v>
      </c>
      <c r="G368">
        <v>180252</v>
      </c>
      <c r="H368">
        <v>93619</v>
      </c>
      <c r="I368">
        <v>153127</v>
      </c>
      <c r="J368" s="7">
        <f t="shared" si="15"/>
        <v>33.520747313244897</v>
      </c>
      <c r="K368" s="7">
        <f t="shared" si="16"/>
        <v>31.971050887911879</v>
      </c>
      <c r="L368" s="8">
        <f t="shared" si="17"/>
        <v>24.117108281390578</v>
      </c>
      <c r="M368" s="2"/>
      <c r="N368" s="2"/>
    </row>
    <row r="369" spans="1:14" x14ac:dyDescent="0.2">
      <c r="A369" t="s">
        <v>406</v>
      </c>
      <c r="B369">
        <v>8</v>
      </c>
      <c r="C369" t="s">
        <v>413</v>
      </c>
      <c r="D369">
        <v>126113</v>
      </c>
      <c r="E369">
        <v>82183</v>
      </c>
      <c r="F369">
        <v>167935</v>
      </c>
      <c r="G369">
        <v>115154</v>
      </c>
      <c r="H369">
        <v>194738</v>
      </c>
      <c r="I369">
        <v>109560</v>
      </c>
      <c r="J369" s="7">
        <f t="shared" si="15"/>
        <v>-21.090179360141338</v>
      </c>
      <c r="K369" s="7">
        <f t="shared" si="16"/>
        <v>-18.644666518303431</v>
      </c>
      <c r="L369" s="8">
        <f t="shared" si="17"/>
        <v>-27.991639774168743</v>
      </c>
      <c r="M369" s="2"/>
      <c r="N369" s="2"/>
    </row>
    <row r="370" spans="1:14" x14ac:dyDescent="0.2">
      <c r="A370" t="s">
        <v>406</v>
      </c>
      <c r="B370">
        <v>9</v>
      </c>
      <c r="C370" t="s">
        <v>414</v>
      </c>
      <c r="D370">
        <v>86073</v>
      </c>
      <c r="E370">
        <v>80900</v>
      </c>
      <c r="F370">
        <v>111907</v>
      </c>
      <c r="G370">
        <v>93941</v>
      </c>
      <c r="H370">
        <v>118132</v>
      </c>
      <c r="I370">
        <v>78639</v>
      </c>
      <c r="J370" s="7">
        <f t="shared" si="15"/>
        <v>-3.0981056817569308</v>
      </c>
      <c r="K370" s="7">
        <f t="shared" si="16"/>
        <v>-8.7277991527729188</v>
      </c>
      <c r="L370" s="8">
        <f t="shared" si="17"/>
        <v>-20.070538849728873</v>
      </c>
      <c r="M370" s="2"/>
      <c r="N370" s="2"/>
    </row>
    <row r="371" spans="1:14" x14ac:dyDescent="0.2">
      <c r="A371" t="s">
        <v>406</v>
      </c>
      <c r="B371">
        <v>10</v>
      </c>
      <c r="C371" t="s">
        <v>415</v>
      </c>
      <c r="D371">
        <v>157495</v>
      </c>
      <c r="E371">
        <v>100316</v>
      </c>
      <c r="F371">
        <v>195622</v>
      </c>
      <c r="G371">
        <v>144424</v>
      </c>
      <c r="H371">
        <v>213878</v>
      </c>
      <c r="I371">
        <v>134085</v>
      </c>
      <c r="J371" s="7">
        <f t="shared" si="15"/>
        <v>-22.178650251540859</v>
      </c>
      <c r="K371" s="7">
        <f t="shared" si="16"/>
        <v>-15.056198279056362</v>
      </c>
      <c r="L371" s="8">
        <f t="shared" si="17"/>
        <v>-22.931461103623086</v>
      </c>
      <c r="M371" s="2"/>
      <c r="N371" s="2"/>
    </row>
    <row r="372" spans="1:14" x14ac:dyDescent="0.2">
      <c r="A372" t="s">
        <v>406</v>
      </c>
      <c r="B372">
        <v>11</v>
      </c>
      <c r="C372" t="s">
        <v>416</v>
      </c>
      <c r="D372">
        <v>154780</v>
      </c>
      <c r="E372">
        <v>71489</v>
      </c>
      <c r="F372">
        <v>190220</v>
      </c>
      <c r="G372">
        <v>101256</v>
      </c>
      <c r="H372">
        <v>194696</v>
      </c>
      <c r="I372">
        <v>94213</v>
      </c>
      <c r="J372" s="7">
        <f t="shared" si="15"/>
        <v>-36.810610379680824</v>
      </c>
      <c r="K372" s="7">
        <f t="shared" si="16"/>
        <v>-30.521895456229675</v>
      </c>
      <c r="L372" s="8">
        <f t="shared" si="17"/>
        <v>-34.780155689161639</v>
      </c>
      <c r="M372" s="2"/>
      <c r="N372" s="2"/>
    </row>
    <row r="373" spans="1:14" x14ac:dyDescent="0.2">
      <c r="A373" t="s">
        <v>406</v>
      </c>
      <c r="B373">
        <v>12</v>
      </c>
      <c r="C373" t="s">
        <v>417</v>
      </c>
      <c r="D373">
        <v>133181</v>
      </c>
      <c r="E373">
        <v>79889</v>
      </c>
      <c r="F373">
        <v>170831</v>
      </c>
      <c r="G373">
        <v>118763</v>
      </c>
      <c r="H373">
        <v>192719</v>
      </c>
      <c r="I373">
        <v>117738</v>
      </c>
      <c r="J373" s="7">
        <f t="shared" si="15"/>
        <v>-25.011498568545548</v>
      </c>
      <c r="K373" s="7">
        <f t="shared" si="16"/>
        <v>-17.979654274605135</v>
      </c>
      <c r="L373" s="8">
        <f t="shared" si="17"/>
        <v>-24.151814905123736</v>
      </c>
      <c r="M373" s="2"/>
      <c r="N373" s="2"/>
    </row>
    <row r="374" spans="1:14" x14ac:dyDescent="0.2">
      <c r="A374" t="s">
        <v>406</v>
      </c>
      <c r="B374">
        <v>13</v>
      </c>
      <c r="C374" t="s">
        <v>418</v>
      </c>
      <c r="D374">
        <v>185900</v>
      </c>
      <c r="E374">
        <v>57807</v>
      </c>
      <c r="F374">
        <v>213331</v>
      </c>
      <c r="G374">
        <v>81303</v>
      </c>
      <c r="H374">
        <v>220441</v>
      </c>
      <c r="I374">
        <v>80162</v>
      </c>
      <c r="J374" s="7">
        <f t="shared" si="15"/>
        <v>-52.560246525540919</v>
      </c>
      <c r="K374" s="7">
        <f t="shared" si="16"/>
        <v>-44.810850071614269</v>
      </c>
      <c r="L374" s="8">
        <f t="shared" si="17"/>
        <v>-46.66586827144107</v>
      </c>
      <c r="M374" s="2"/>
      <c r="N374" s="2"/>
    </row>
    <row r="375" spans="1:14" x14ac:dyDescent="0.2">
      <c r="A375" t="s">
        <v>406</v>
      </c>
      <c r="B375">
        <v>14</v>
      </c>
      <c r="C375" t="s">
        <v>419</v>
      </c>
      <c r="D375">
        <v>156210</v>
      </c>
      <c r="E375">
        <v>91831</v>
      </c>
      <c r="F375">
        <v>193976</v>
      </c>
      <c r="G375">
        <v>124542</v>
      </c>
      <c r="H375">
        <v>206349</v>
      </c>
      <c r="I375">
        <v>124943</v>
      </c>
      <c r="J375" s="7">
        <f t="shared" si="15"/>
        <v>-25.954983248737101</v>
      </c>
      <c r="K375" s="7">
        <f t="shared" si="16"/>
        <v>-21.799081998505578</v>
      </c>
      <c r="L375" s="8">
        <f t="shared" si="17"/>
        <v>-24.572280646680269</v>
      </c>
      <c r="M375" s="2"/>
      <c r="N375" s="2"/>
    </row>
    <row r="376" spans="1:14" x14ac:dyDescent="0.2">
      <c r="A376" t="s">
        <v>406</v>
      </c>
      <c r="B376">
        <v>15</v>
      </c>
      <c r="C376" t="s">
        <v>420</v>
      </c>
      <c r="D376">
        <v>77141</v>
      </c>
      <c r="E376">
        <v>102450</v>
      </c>
      <c r="F376">
        <v>115253</v>
      </c>
      <c r="G376">
        <v>109875</v>
      </c>
      <c r="H376">
        <v>133315</v>
      </c>
      <c r="I376">
        <v>92600</v>
      </c>
      <c r="J376" s="7">
        <f t="shared" si="15"/>
        <v>14.092577022233854</v>
      </c>
      <c r="K376" s="7">
        <f t="shared" si="16"/>
        <v>-2.3888632244767423</v>
      </c>
      <c r="L376" s="8">
        <f t="shared" si="17"/>
        <v>-18.022265011176771</v>
      </c>
      <c r="M376" s="2"/>
      <c r="N376" s="2"/>
    </row>
    <row r="377" spans="1:14" x14ac:dyDescent="0.2">
      <c r="A377" t="s">
        <v>406</v>
      </c>
      <c r="B377">
        <v>16</v>
      </c>
      <c r="C377" t="s">
        <v>421</v>
      </c>
      <c r="D377">
        <v>51845</v>
      </c>
      <c r="E377">
        <v>135875</v>
      </c>
      <c r="F377">
        <v>76842</v>
      </c>
      <c r="G377">
        <v>163993</v>
      </c>
      <c r="H377">
        <v>94338</v>
      </c>
      <c r="I377">
        <v>131985</v>
      </c>
      <c r="J377" s="7">
        <f t="shared" si="15"/>
        <v>44.763477519710207</v>
      </c>
      <c r="K377" s="7">
        <f t="shared" si="16"/>
        <v>36.187016006809642</v>
      </c>
      <c r="L377" s="8">
        <f t="shared" si="17"/>
        <v>16.634190957171828</v>
      </c>
      <c r="M377" s="2"/>
      <c r="N377" s="2"/>
    </row>
    <row r="378" spans="1:14" x14ac:dyDescent="0.2">
      <c r="A378" t="s">
        <v>406</v>
      </c>
      <c r="B378">
        <v>17</v>
      </c>
      <c r="C378" t="s">
        <v>422</v>
      </c>
      <c r="D378">
        <v>148062</v>
      </c>
      <c r="E378">
        <v>90932</v>
      </c>
      <c r="F378">
        <v>180962</v>
      </c>
      <c r="G378">
        <v>132377</v>
      </c>
      <c r="H378">
        <v>192428</v>
      </c>
      <c r="I378">
        <v>123163</v>
      </c>
      <c r="J378" s="7">
        <f t="shared" si="15"/>
        <v>-23.90436579997824</v>
      </c>
      <c r="K378" s="7">
        <f t="shared" si="16"/>
        <v>-15.505570643935162</v>
      </c>
      <c r="L378" s="8">
        <f t="shared" si="17"/>
        <v>-21.947710802906293</v>
      </c>
      <c r="M378" s="2"/>
      <c r="N378" s="2"/>
    </row>
    <row r="379" spans="1:14" x14ac:dyDescent="0.2">
      <c r="A379" t="s">
        <v>406</v>
      </c>
      <c r="B379">
        <v>18</v>
      </c>
      <c r="C379" t="s">
        <v>423</v>
      </c>
      <c r="D379">
        <v>32917</v>
      </c>
      <c r="E379">
        <v>182804</v>
      </c>
      <c r="F379">
        <v>47152</v>
      </c>
      <c r="G379">
        <v>217360</v>
      </c>
      <c r="H379">
        <v>53117</v>
      </c>
      <c r="I379">
        <v>186782</v>
      </c>
      <c r="J379" s="7">
        <f t="shared" si="15"/>
        <v>69.48187705415792</v>
      </c>
      <c r="K379" s="7">
        <f t="shared" si="16"/>
        <v>64.347931284781041</v>
      </c>
      <c r="L379" s="8">
        <f t="shared" si="17"/>
        <v>55.717197654012729</v>
      </c>
      <c r="M379" s="2"/>
      <c r="N379" s="2"/>
    </row>
    <row r="380" spans="1:14" x14ac:dyDescent="0.2">
      <c r="A380" t="s">
        <v>406</v>
      </c>
      <c r="B380">
        <v>19</v>
      </c>
      <c r="C380" t="s">
        <v>424</v>
      </c>
      <c r="D380">
        <v>170518</v>
      </c>
      <c r="E380">
        <v>55576</v>
      </c>
      <c r="F380">
        <v>202442</v>
      </c>
      <c r="G380">
        <v>73170</v>
      </c>
      <c r="H380">
        <v>212708</v>
      </c>
      <c r="I380">
        <v>66862</v>
      </c>
      <c r="J380" s="7">
        <f t="shared" si="15"/>
        <v>-50.838146965421458</v>
      </c>
      <c r="K380" s="7">
        <f t="shared" si="16"/>
        <v>-46.903618129834697</v>
      </c>
      <c r="L380" s="8">
        <f t="shared" si="17"/>
        <v>-52.167972243087604</v>
      </c>
      <c r="M380" s="2"/>
      <c r="N380" s="2"/>
    </row>
    <row r="381" spans="1:14" x14ac:dyDescent="0.2">
      <c r="A381" t="s">
        <v>406</v>
      </c>
      <c r="B381">
        <v>20</v>
      </c>
      <c r="C381" t="s">
        <v>425</v>
      </c>
      <c r="D381">
        <v>53152</v>
      </c>
      <c r="E381">
        <v>131711</v>
      </c>
      <c r="F381">
        <v>72239</v>
      </c>
      <c r="G381">
        <v>172231</v>
      </c>
      <c r="H381">
        <v>79593</v>
      </c>
      <c r="I381">
        <v>144230</v>
      </c>
      <c r="J381" s="7">
        <f t="shared" si="15"/>
        <v>42.495794182719095</v>
      </c>
      <c r="K381" s="7">
        <f t="shared" si="16"/>
        <v>40.901542111506522</v>
      </c>
      <c r="L381" s="8">
        <f t="shared" si="17"/>
        <v>28.878622840369399</v>
      </c>
      <c r="M381" s="2"/>
      <c r="N381" s="2"/>
    </row>
    <row r="382" spans="1:14" x14ac:dyDescent="0.2">
      <c r="A382" t="s">
        <v>406</v>
      </c>
      <c r="B382">
        <v>21</v>
      </c>
      <c r="C382" t="s">
        <v>426</v>
      </c>
      <c r="D382">
        <v>181262</v>
      </c>
      <c r="E382">
        <v>107136</v>
      </c>
      <c r="F382">
        <v>227694</v>
      </c>
      <c r="G382">
        <v>161525</v>
      </c>
      <c r="H382">
        <v>249919</v>
      </c>
      <c r="I382">
        <v>159472</v>
      </c>
      <c r="J382" s="7">
        <f t="shared" si="15"/>
        <v>-25.702674775830626</v>
      </c>
      <c r="K382" s="7">
        <f t="shared" si="16"/>
        <v>-17.000454756833555</v>
      </c>
      <c r="L382" s="8">
        <f t="shared" si="17"/>
        <v>-22.093060179632673</v>
      </c>
      <c r="M382" s="2"/>
      <c r="N382" s="2"/>
    </row>
    <row r="383" spans="1:14" x14ac:dyDescent="0.2">
      <c r="A383" t="s">
        <v>406</v>
      </c>
      <c r="B383">
        <v>22</v>
      </c>
      <c r="C383" t="s">
        <v>427</v>
      </c>
      <c r="D383">
        <v>147709</v>
      </c>
      <c r="E383">
        <v>85689</v>
      </c>
      <c r="F383">
        <v>188014</v>
      </c>
      <c r="G383">
        <v>131979</v>
      </c>
      <c r="H383">
        <v>201258</v>
      </c>
      <c r="I383">
        <v>126899</v>
      </c>
      <c r="J383" s="7">
        <f t="shared" si="15"/>
        <v>-26.572635583852477</v>
      </c>
      <c r="K383" s="7">
        <f t="shared" si="16"/>
        <v>-17.511320560137253</v>
      </c>
      <c r="L383" s="8">
        <f t="shared" si="17"/>
        <v>-22.659580627565465</v>
      </c>
      <c r="M383" s="2"/>
      <c r="N383" s="2"/>
    </row>
    <row r="384" spans="1:14" x14ac:dyDescent="0.2">
      <c r="A384" t="s">
        <v>406</v>
      </c>
      <c r="B384">
        <v>23</v>
      </c>
      <c r="C384" t="s">
        <v>428</v>
      </c>
      <c r="D384">
        <v>116622</v>
      </c>
      <c r="E384">
        <v>100694</v>
      </c>
      <c r="F384">
        <v>160217</v>
      </c>
      <c r="G384">
        <v>138493</v>
      </c>
      <c r="H384">
        <v>181141</v>
      </c>
      <c r="I384">
        <v>133969</v>
      </c>
      <c r="J384" s="7">
        <f t="shared" si="15"/>
        <v>-7.3294189107106709</v>
      </c>
      <c r="K384" s="7">
        <f t="shared" si="16"/>
        <v>-7.2726055371430478</v>
      </c>
      <c r="L384" s="8">
        <f t="shared" si="17"/>
        <v>-14.970010472533401</v>
      </c>
      <c r="M384" s="2"/>
      <c r="N384" s="2"/>
    </row>
    <row r="385" spans="1:14" x14ac:dyDescent="0.2">
      <c r="A385" t="s">
        <v>406</v>
      </c>
      <c r="B385">
        <v>24</v>
      </c>
      <c r="C385" t="s">
        <v>429</v>
      </c>
      <c r="D385">
        <v>184278</v>
      </c>
      <c r="E385">
        <v>109846</v>
      </c>
      <c r="F385">
        <v>211300</v>
      </c>
      <c r="G385">
        <v>164122</v>
      </c>
      <c r="H385">
        <v>213069</v>
      </c>
      <c r="I385">
        <v>153071</v>
      </c>
      <c r="J385" s="7">
        <f t="shared" si="15"/>
        <v>-25.306333383198925</v>
      </c>
      <c r="K385" s="7">
        <f t="shared" si="16"/>
        <v>-12.566658320503327</v>
      </c>
      <c r="L385" s="8">
        <f t="shared" si="17"/>
        <v>-16.386628065767191</v>
      </c>
      <c r="M385" s="2"/>
      <c r="N385" s="2"/>
    </row>
    <row r="386" spans="1:14" x14ac:dyDescent="0.2">
      <c r="A386" t="s">
        <v>406</v>
      </c>
      <c r="B386">
        <v>25</v>
      </c>
      <c r="C386" t="s">
        <v>430</v>
      </c>
      <c r="D386">
        <v>141386</v>
      </c>
      <c r="E386">
        <v>93095</v>
      </c>
      <c r="F386">
        <v>172083</v>
      </c>
      <c r="G386">
        <v>124453</v>
      </c>
      <c r="H386">
        <v>189981</v>
      </c>
      <c r="I386">
        <v>115592</v>
      </c>
      <c r="J386" s="7">
        <f t="shared" si="15"/>
        <v>-20.594845637812874</v>
      </c>
      <c r="K386" s="7">
        <f t="shared" si="16"/>
        <v>-16.062130736234387</v>
      </c>
      <c r="L386" s="8">
        <f t="shared" si="17"/>
        <v>-24.344101082229123</v>
      </c>
      <c r="M386" s="2"/>
      <c r="N386" s="2"/>
    </row>
    <row r="387" spans="1:14" x14ac:dyDescent="0.2">
      <c r="A387" t="s">
        <v>406</v>
      </c>
      <c r="B387">
        <v>26</v>
      </c>
      <c r="C387" t="s">
        <v>431</v>
      </c>
      <c r="D387">
        <v>161101</v>
      </c>
      <c r="E387">
        <v>83896</v>
      </c>
      <c r="F387">
        <v>208544</v>
      </c>
      <c r="G387">
        <v>142670</v>
      </c>
      <c r="H387">
        <v>237089</v>
      </c>
      <c r="I387">
        <v>144950</v>
      </c>
      <c r="J387" s="7">
        <f t="shared" si="15"/>
        <v>-31.51263076690735</v>
      </c>
      <c r="K387" s="7">
        <f t="shared" si="16"/>
        <v>-18.75608603301691</v>
      </c>
      <c r="L387" s="8">
        <f t="shared" si="17"/>
        <v>-24.117694790322457</v>
      </c>
      <c r="M387" s="2"/>
      <c r="N387" s="2"/>
    </row>
    <row r="388" spans="1:14" x14ac:dyDescent="0.2">
      <c r="A388" t="s">
        <v>406</v>
      </c>
      <c r="B388">
        <v>27</v>
      </c>
      <c r="C388" t="s">
        <v>432</v>
      </c>
      <c r="D388">
        <v>144737</v>
      </c>
      <c r="E388">
        <v>88069</v>
      </c>
      <c r="F388">
        <v>177080</v>
      </c>
      <c r="G388">
        <v>124288</v>
      </c>
      <c r="H388">
        <v>194368</v>
      </c>
      <c r="I388">
        <v>125739</v>
      </c>
      <c r="J388" s="7">
        <f t="shared" si="15"/>
        <v>-24.34129704560879</v>
      </c>
      <c r="K388" s="7">
        <f t="shared" si="16"/>
        <v>-17.517453744259509</v>
      </c>
      <c r="L388" s="8">
        <f t="shared" si="17"/>
        <v>-21.439393702730651</v>
      </c>
      <c r="M388" s="2"/>
      <c r="N388" s="2"/>
    </row>
    <row r="389" spans="1:14" x14ac:dyDescent="0.2">
      <c r="A389" t="s">
        <v>406</v>
      </c>
      <c r="B389">
        <v>28</v>
      </c>
      <c r="C389" t="s">
        <v>433</v>
      </c>
      <c r="D389">
        <v>50057</v>
      </c>
      <c r="E389">
        <v>110629</v>
      </c>
      <c r="F389">
        <v>92662</v>
      </c>
      <c r="G389">
        <v>112597</v>
      </c>
      <c r="H389">
        <v>109042</v>
      </c>
      <c r="I389">
        <v>88409</v>
      </c>
      <c r="J389" s="7">
        <f t="shared" si="15"/>
        <v>37.695878919134209</v>
      </c>
      <c r="K389" s="7">
        <f t="shared" si="16"/>
        <v>9.7121198096063992</v>
      </c>
      <c r="L389" s="8">
        <f t="shared" si="17"/>
        <v>-10.449681186724808</v>
      </c>
      <c r="M389" s="2"/>
      <c r="N389" s="2"/>
    </row>
    <row r="390" spans="1:14" x14ac:dyDescent="0.2">
      <c r="A390" t="s">
        <v>406</v>
      </c>
      <c r="B390">
        <v>29</v>
      </c>
      <c r="C390" t="s">
        <v>434</v>
      </c>
      <c r="D390">
        <v>38295</v>
      </c>
      <c r="E390">
        <v>115299</v>
      </c>
      <c r="F390">
        <v>54929</v>
      </c>
      <c r="G390">
        <v>139870</v>
      </c>
      <c r="H390">
        <v>61311</v>
      </c>
      <c r="I390">
        <v>116000</v>
      </c>
      <c r="J390" s="7">
        <f t="shared" si="15"/>
        <v>50.134770889487868</v>
      </c>
      <c r="K390" s="7">
        <f t="shared" si="16"/>
        <v>43.604433287645215</v>
      </c>
      <c r="L390" s="8">
        <f t="shared" si="17"/>
        <v>30.843546085691244</v>
      </c>
      <c r="M390" s="2"/>
      <c r="N390" s="2"/>
    </row>
    <row r="391" spans="1:14" x14ac:dyDescent="0.2">
      <c r="A391" t="s">
        <v>406</v>
      </c>
      <c r="B391">
        <v>30</v>
      </c>
      <c r="C391" t="s">
        <v>435</v>
      </c>
      <c r="D391">
        <v>45781</v>
      </c>
      <c r="E391">
        <v>170966</v>
      </c>
      <c r="F391">
        <v>56392</v>
      </c>
      <c r="G391">
        <v>208565</v>
      </c>
      <c r="H391">
        <v>62648</v>
      </c>
      <c r="I391">
        <v>177406</v>
      </c>
      <c r="J391" s="7">
        <f t="shared" si="15"/>
        <v>57.756278056905053</v>
      </c>
      <c r="K391" s="7">
        <f t="shared" si="16"/>
        <v>57.433092916963879</v>
      </c>
      <c r="L391" s="8">
        <f t="shared" si="17"/>
        <v>47.80507719096537</v>
      </c>
      <c r="M391" s="2"/>
      <c r="N391" s="2"/>
    </row>
    <row r="392" spans="1:14" x14ac:dyDescent="0.2">
      <c r="A392" t="s">
        <v>406</v>
      </c>
      <c r="B392">
        <v>31</v>
      </c>
      <c r="C392" t="s">
        <v>436</v>
      </c>
      <c r="D392">
        <v>136102</v>
      </c>
      <c r="E392">
        <v>76333</v>
      </c>
      <c r="F392">
        <v>183712</v>
      </c>
      <c r="G392">
        <v>127209</v>
      </c>
      <c r="H392">
        <v>211328</v>
      </c>
      <c r="I392">
        <v>134712</v>
      </c>
      <c r="J392" s="7">
        <f t="shared" si="15"/>
        <v>-28.135194294725448</v>
      </c>
      <c r="K392" s="7">
        <f t="shared" si="16"/>
        <v>-18.172783440166473</v>
      </c>
      <c r="L392" s="8">
        <f t="shared" si="17"/>
        <v>-22.140792971910763</v>
      </c>
      <c r="M392" s="2"/>
      <c r="N392" s="2"/>
    </row>
    <row r="393" spans="1:14" x14ac:dyDescent="0.2">
      <c r="A393" t="s">
        <v>406</v>
      </c>
      <c r="B393">
        <v>32</v>
      </c>
      <c r="C393" t="s">
        <v>437</v>
      </c>
      <c r="D393">
        <v>145404</v>
      </c>
      <c r="E393">
        <v>100552</v>
      </c>
      <c r="F393">
        <v>174362</v>
      </c>
      <c r="G393">
        <v>142066</v>
      </c>
      <c r="H393">
        <v>187174</v>
      </c>
      <c r="I393">
        <v>129764</v>
      </c>
      <c r="J393" s="7">
        <f t="shared" si="15"/>
        <v>-18.23578200979037</v>
      </c>
      <c r="K393" s="7">
        <f t="shared" si="16"/>
        <v>-10.206429266689421</v>
      </c>
      <c r="L393" s="8">
        <f t="shared" si="17"/>
        <v>-18.113952886684462</v>
      </c>
      <c r="M393" s="2"/>
      <c r="N393" s="2"/>
    </row>
    <row r="394" spans="1:14" x14ac:dyDescent="0.2">
      <c r="A394" t="s">
        <v>406</v>
      </c>
      <c r="B394">
        <v>33</v>
      </c>
      <c r="C394" t="s">
        <v>438</v>
      </c>
      <c r="D394">
        <v>46867</v>
      </c>
      <c r="E394">
        <v>124631</v>
      </c>
      <c r="F394">
        <v>60823</v>
      </c>
      <c r="G394">
        <v>163018</v>
      </c>
      <c r="H394">
        <v>68170</v>
      </c>
      <c r="I394">
        <v>136366</v>
      </c>
      <c r="J394" s="7">
        <f t="shared" si="15"/>
        <v>45.343969025877854</v>
      </c>
      <c r="K394" s="7">
        <f t="shared" si="16"/>
        <v>45.65517487859686</v>
      </c>
      <c r="L394" s="8">
        <f t="shared" si="17"/>
        <v>33.341807799116047</v>
      </c>
      <c r="M394" s="2"/>
      <c r="N394" s="2"/>
    </row>
    <row r="395" spans="1:14" x14ac:dyDescent="0.2">
      <c r="A395" t="s">
        <v>406</v>
      </c>
      <c r="B395">
        <v>34</v>
      </c>
      <c r="C395" t="s">
        <v>439</v>
      </c>
      <c r="D395">
        <v>82208</v>
      </c>
      <c r="E395">
        <v>107128</v>
      </c>
      <c r="F395">
        <v>116464</v>
      </c>
      <c r="G395">
        <v>123605</v>
      </c>
      <c r="H395">
        <v>131303</v>
      </c>
      <c r="I395">
        <v>106947</v>
      </c>
      <c r="J395" s="7">
        <f t="shared" si="15"/>
        <v>13.161786453711919</v>
      </c>
      <c r="K395" s="7">
        <f t="shared" si="16"/>
        <v>2.9745614802410976</v>
      </c>
      <c r="L395" s="8">
        <f t="shared" si="17"/>
        <v>-10.222875131164741</v>
      </c>
      <c r="M395" s="2"/>
      <c r="N395" s="2"/>
    </row>
    <row r="396" spans="1:14" x14ac:dyDescent="0.2">
      <c r="A396" t="s">
        <v>406</v>
      </c>
      <c r="B396">
        <v>35</v>
      </c>
      <c r="C396" t="s">
        <v>440</v>
      </c>
      <c r="D396">
        <v>113651</v>
      </c>
      <c r="E396">
        <v>102249</v>
      </c>
      <c r="F396">
        <v>147047</v>
      </c>
      <c r="G396">
        <v>141507</v>
      </c>
      <c r="H396">
        <v>164829</v>
      </c>
      <c r="I396">
        <v>133334</v>
      </c>
      <c r="J396" s="7">
        <f t="shared" si="15"/>
        <v>-5.2811486799444189</v>
      </c>
      <c r="K396" s="7">
        <f t="shared" si="16"/>
        <v>-1.919917935637697</v>
      </c>
      <c r="L396" s="8">
        <f t="shared" si="17"/>
        <v>-10.563014190224809</v>
      </c>
      <c r="M396" s="2"/>
      <c r="N396" s="2"/>
    </row>
    <row r="397" spans="1:14" x14ac:dyDescent="0.2">
      <c r="A397" t="s">
        <v>406</v>
      </c>
      <c r="B397">
        <v>36</v>
      </c>
      <c r="C397" t="s">
        <v>441</v>
      </c>
      <c r="D397">
        <v>153708</v>
      </c>
      <c r="E397">
        <v>101018</v>
      </c>
      <c r="F397">
        <v>186757</v>
      </c>
      <c r="G397">
        <v>128113</v>
      </c>
      <c r="H397">
        <v>192668</v>
      </c>
      <c r="I397">
        <v>114917</v>
      </c>
      <c r="J397" s="7">
        <f t="shared" si="15"/>
        <v>-20.684971302497583</v>
      </c>
      <c r="K397" s="7">
        <f t="shared" si="16"/>
        <v>-18.624829294629532</v>
      </c>
      <c r="L397" s="8">
        <f t="shared" si="17"/>
        <v>-25.277890664369203</v>
      </c>
      <c r="M397" s="2"/>
      <c r="N397" s="2"/>
    </row>
    <row r="398" spans="1:14" x14ac:dyDescent="0.2">
      <c r="A398" t="s">
        <v>406</v>
      </c>
      <c r="B398">
        <v>37</v>
      </c>
      <c r="C398" t="s">
        <v>442</v>
      </c>
      <c r="D398">
        <v>50037</v>
      </c>
      <c r="E398">
        <v>207441</v>
      </c>
      <c r="F398">
        <v>62202</v>
      </c>
      <c r="G398">
        <v>280916</v>
      </c>
      <c r="H398">
        <v>67678</v>
      </c>
      <c r="I398">
        <v>252342</v>
      </c>
      <c r="J398" s="7">
        <f t="shared" si="15"/>
        <v>61.132990003029384</v>
      </c>
      <c r="K398" s="7">
        <f t="shared" si="16"/>
        <v>63.74308546913889</v>
      </c>
      <c r="L398" s="8">
        <f t="shared" si="17"/>
        <v>57.703893506655831</v>
      </c>
      <c r="M398" s="2"/>
      <c r="N398" s="2"/>
    </row>
    <row r="399" spans="1:14" x14ac:dyDescent="0.2">
      <c r="A399" t="s">
        <v>406</v>
      </c>
      <c r="B399">
        <v>38</v>
      </c>
      <c r="C399" t="s">
        <v>443</v>
      </c>
      <c r="D399">
        <v>166344</v>
      </c>
      <c r="E399">
        <v>94383</v>
      </c>
      <c r="F399">
        <v>205122</v>
      </c>
      <c r="G399">
        <v>142235</v>
      </c>
      <c r="H399">
        <v>210920</v>
      </c>
      <c r="I399">
        <v>136854</v>
      </c>
      <c r="J399" s="7">
        <f t="shared" si="15"/>
        <v>-27.600133472942961</v>
      </c>
      <c r="K399" s="7">
        <f t="shared" si="16"/>
        <v>-18.104428585000445</v>
      </c>
      <c r="L399" s="8">
        <f t="shared" si="17"/>
        <v>-21.297164250346491</v>
      </c>
      <c r="M399" s="2"/>
      <c r="N399" s="2"/>
    </row>
    <row r="400" spans="1:14" x14ac:dyDescent="0.2">
      <c r="A400" t="s">
        <v>445</v>
      </c>
      <c r="B400">
        <v>1</v>
      </c>
      <c r="C400" t="s">
        <v>444</v>
      </c>
      <c r="D400">
        <v>100031</v>
      </c>
      <c r="E400">
        <v>168860</v>
      </c>
      <c r="F400">
        <v>127378</v>
      </c>
      <c r="G400">
        <v>214978</v>
      </c>
      <c r="H400">
        <v>120241</v>
      </c>
      <c r="I400">
        <v>197553</v>
      </c>
      <c r="J400" s="7">
        <f t="shared" si="15"/>
        <v>25.597361012454861</v>
      </c>
      <c r="K400" s="7">
        <f t="shared" si="16"/>
        <v>25.587400250032132</v>
      </c>
      <c r="L400" s="8">
        <f t="shared" si="17"/>
        <v>24.32770914491778</v>
      </c>
      <c r="M400" s="2"/>
      <c r="N400" s="2"/>
    </row>
    <row r="401" spans="1:14" x14ac:dyDescent="0.2">
      <c r="A401" t="s">
        <v>445</v>
      </c>
      <c r="B401">
        <v>2</v>
      </c>
      <c r="C401" t="s">
        <v>446</v>
      </c>
      <c r="D401">
        <v>165230</v>
      </c>
      <c r="E401">
        <v>106133</v>
      </c>
      <c r="F401">
        <v>230690</v>
      </c>
      <c r="G401">
        <v>119335</v>
      </c>
      <c r="H401">
        <v>231962</v>
      </c>
      <c r="I401">
        <v>125175</v>
      </c>
      <c r="J401" s="7">
        <f t="shared" si="15"/>
        <v>-21.77784001503521</v>
      </c>
      <c r="K401" s="7">
        <f t="shared" si="16"/>
        <v>-31.813441897007355</v>
      </c>
      <c r="L401" s="8">
        <f t="shared" si="17"/>
        <v>-29.900850373946131</v>
      </c>
      <c r="M401" s="2"/>
      <c r="N401" s="2"/>
    </row>
    <row r="402" spans="1:14" x14ac:dyDescent="0.2">
      <c r="A402" t="s">
        <v>445</v>
      </c>
      <c r="B402">
        <v>3</v>
      </c>
      <c r="C402" t="s">
        <v>447</v>
      </c>
      <c r="D402">
        <v>184194</v>
      </c>
      <c r="E402">
        <v>86102</v>
      </c>
      <c r="F402">
        <v>257824</v>
      </c>
      <c r="G402">
        <v>104465</v>
      </c>
      <c r="H402">
        <v>267996</v>
      </c>
      <c r="I402">
        <v>108346</v>
      </c>
      <c r="J402" s="7">
        <f t="shared" si="15"/>
        <v>-36.290585136295022</v>
      </c>
      <c r="K402" s="7">
        <f t="shared" si="16"/>
        <v>-42.33057034577368</v>
      </c>
      <c r="L402" s="8">
        <f t="shared" si="17"/>
        <v>-42.421520850715574</v>
      </c>
      <c r="M402" s="2"/>
      <c r="N402" s="2"/>
    </row>
    <row r="403" spans="1:14" x14ac:dyDescent="0.2">
      <c r="A403" t="s">
        <v>445</v>
      </c>
      <c r="B403">
        <v>4</v>
      </c>
      <c r="C403" t="s">
        <v>448</v>
      </c>
      <c r="D403">
        <v>162185</v>
      </c>
      <c r="E403">
        <v>95127</v>
      </c>
      <c r="F403">
        <v>249247</v>
      </c>
      <c r="G403">
        <v>121504</v>
      </c>
      <c r="H403">
        <v>262883</v>
      </c>
      <c r="I403">
        <v>131149</v>
      </c>
      <c r="J403" s="7">
        <f t="shared" si="15"/>
        <v>-26.060968784976996</v>
      </c>
      <c r="K403" s="7">
        <f t="shared" si="16"/>
        <v>-34.455200390558623</v>
      </c>
      <c r="L403" s="8">
        <f t="shared" si="17"/>
        <v>-33.432310066187512</v>
      </c>
      <c r="M403" s="2"/>
      <c r="N403" s="2"/>
    </row>
    <row r="404" spans="1:14" x14ac:dyDescent="0.2">
      <c r="A404" t="s">
        <v>450</v>
      </c>
      <c r="B404">
        <v>1</v>
      </c>
      <c r="C404" t="s">
        <v>449</v>
      </c>
      <c r="D404">
        <v>220153</v>
      </c>
      <c r="E404">
        <v>164329</v>
      </c>
      <c r="F404">
        <v>241704</v>
      </c>
      <c r="G404">
        <v>210917</v>
      </c>
      <c r="H404">
        <v>250992</v>
      </c>
      <c r="I404">
        <v>227074</v>
      </c>
      <c r="J404" s="7">
        <f t="shared" ref="J404:J429" si="18">(E404-D404)/(E404+D404)*100</f>
        <v>-14.519275284668723</v>
      </c>
      <c r="K404" s="7">
        <f t="shared" ref="K404:K429" si="19">(G404-F404)/(G404+F404)*100</f>
        <v>-6.8019380452961755</v>
      </c>
      <c r="L404" s="8">
        <f t="shared" ref="L404:L429" si="20">(I404-H404)/(I404+H404)*100</f>
        <v>-5.0030748892412342</v>
      </c>
      <c r="M404" s="2"/>
      <c r="N404" s="2"/>
    </row>
    <row r="405" spans="1:14" x14ac:dyDescent="0.2">
      <c r="A405" t="s">
        <v>450</v>
      </c>
      <c r="B405">
        <v>2</v>
      </c>
      <c r="C405" t="s">
        <v>451</v>
      </c>
      <c r="D405">
        <v>178791</v>
      </c>
      <c r="E405">
        <v>159147</v>
      </c>
      <c r="F405">
        <v>193663</v>
      </c>
      <c r="G405">
        <v>202130</v>
      </c>
      <c r="H405">
        <v>204280</v>
      </c>
      <c r="I405">
        <v>203215</v>
      </c>
      <c r="J405" s="7">
        <f t="shared" si="18"/>
        <v>-5.8129005912327116</v>
      </c>
      <c r="K405" s="7">
        <f t="shared" si="19"/>
        <v>2.139249557218041</v>
      </c>
      <c r="L405" s="8">
        <f t="shared" si="20"/>
        <v>-0.26135290003558326</v>
      </c>
      <c r="M405" s="2"/>
      <c r="N405" s="2"/>
    </row>
    <row r="406" spans="1:14" x14ac:dyDescent="0.2">
      <c r="A406" t="s">
        <v>450</v>
      </c>
      <c r="B406">
        <v>3</v>
      </c>
      <c r="C406" t="s">
        <v>452</v>
      </c>
      <c r="D406">
        <v>97170</v>
      </c>
      <c r="E406">
        <v>202580</v>
      </c>
      <c r="F406">
        <v>101309</v>
      </c>
      <c r="G406">
        <v>230210</v>
      </c>
      <c r="H406">
        <v>102194</v>
      </c>
      <c r="I406">
        <v>213089</v>
      </c>
      <c r="J406" s="7">
        <f t="shared" si="18"/>
        <v>35.165971643035867</v>
      </c>
      <c r="K406" s="7">
        <f t="shared" si="19"/>
        <v>38.881934368769208</v>
      </c>
      <c r="L406" s="8">
        <f t="shared" si="20"/>
        <v>35.173161889477072</v>
      </c>
      <c r="M406" s="2"/>
      <c r="N406" s="2"/>
    </row>
    <row r="407" spans="1:14" x14ac:dyDescent="0.2">
      <c r="A407" t="s">
        <v>450</v>
      </c>
      <c r="B407">
        <v>4</v>
      </c>
      <c r="C407" t="s">
        <v>453</v>
      </c>
      <c r="D407">
        <v>114461</v>
      </c>
      <c r="E407">
        <v>226374</v>
      </c>
      <c r="F407">
        <v>123833</v>
      </c>
      <c r="G407">
        <v>264419</v>
      </c>
      <c r="H407">
        <v>125928</v>
      </c>
      <c r="I407">
        <v>250985</v>
      </c>
      <c r="J407" s="7">
        <f t="shared" si="18"/>
        <v>32.834949462349819</v>
      </c>
      <c r="K407" s="7">
        <f t="shared" si="19"/>
        <v>36.209987327818013</v>
      </c>
      <c r="L407" s="8">
        <f t="shared" si="20"/>
        <v>33.179274792856702</v>
      </c>
      <c r="M407" s="2"/>
      <c r="N407" s="2"/>
    </row>
    <row r="408" spans="1:14" x14ac:dyDescent="0.2">
      <c r="A408" t="s">
        <v>450</v>
      </c>
      <c r="B408">
        <v>5</v>
      </c>
      <c r="C408" t="s">
        <v>454</v>
      </c>
      <c r="D408">
        <v>207820</v>
      </c>
      <c r="E408">
        <v>163616</v>
      </c>
      <c r="F408">
        <v>231538</v>
      </c>
      <c r="G408">
        <v>195837</v>
      </c>
      <c r="H408">
        <v>246006</v>
      </c>
      <c r="I408">
        <v>191693</v>
      </c>
      <c r="J408" s="7">
        <f t="shared" si="18"/>
        <v>-11.900838906298796</v>
      </c>
      <c r="K408" s="7">
        <f t="shared" si="19"/>
        <v>-8.3535536706639366</v>
      </c>
      <c r="L408" s="8">
        <f t="shared" si="20"/>
        <v>-12.408755788795496</v>
      </c>
      <c r="M408" s="2"/>
      <c r="N408" s="2"/>
    </row>
    <row r="409" spans="1:14" x14ac:dyDescent="0.2">
      <c r="A409" t="s">
        <v>450</v>
      </c>
      <c r="B409">
        <v>6</v>
      </c>
      <c r="C409" t="s">
        <v>455</v>
      </c>
      <c r="D409">
        <v>209421</v>
      </c>
      <c r="E409">
        <v>119832</v>
      </c>
      <c r="F409">
        <v>239677</v>
      </c>
      <c r="G409">
        <v>151409</v>
      </c>
      <c r="H409">
        <v>252663</v>
      </c>
      <c r="I409">
        <v>154343</v>
      </c>
      <c r="J409" s="7">
        <f t="shared" si="18"/>
        <v>-27.20977485398766</v>
      </c>
      <c r="K409" s="7">
        <f t="shared" si="19"/>
        <v>-22.569971822054484</v>
      </c>
      <c r="L409" s="8">
        <f t="shared" si="20"/>
        <v>-24.156892035989642</v>
      </c>
      <c r="M409" s="2"/>
      <c r="N409" s="2"/>
    </row>
    <row r="410" spans="1:14" x14ac:dyDescent="0.2">
      <c r="A410" t="s">
        <v>450</v>
      </c>
      <c r="B410">
        <v>7</v>
      </c>
      <c r="C410" t="s">
        <v>456</v>
      </c>
      <c r="D410">
        <v>151900</v>
      </c>
      <c r="E410">
        <v>158937</v>
      </c>
      <c r="F410">
        <v>178327</v>
      </c>
      <c r="G410">
        <v>204550</v>
      </c>
      <c r="H410">
        <v>191700</v>
      </c>
      <c r="I410">
        <v>203210</v>
      </c>
      <c r="J410" s="7">
        <f t="shared" si="18"/>
        <v>2.2638875037399022</v>
      </c>
      <c r="K410" s="7">
        <f t="shared" si="19"/>
        <v>6.8489358201197765</v>
      </c>
      <c r="L410" s="8">
        <f t="shared" si="20"/>
        <v>2.9145881340052164</v>
      </c>
      <c r="M410" s="2"/>
      <c r="N410" s="2"/>
    </row>
    <row r="411" spans="1:14" x14ac:dyDescent="0.2">
      <c r="A411" t="s">
        <v>450</v>
      </c>
      <c r="B411">
        <v>8</v>
      </c>
      <c r="C411" t="s">
        <v>457</v>
      </c>
      <c r="D411">
        <v>75607</v>
      </c>
      <c r="E411">
        <v>264643</v>
      </c>
      <c r="F411">
        <v>83635</v>
      </c>
      <c r="G411">
        <v>303920</v>
      </c>
      <c r="H411">
        <v>92725</v>
      </c>
      <c r="I411">
        <v>285004</v>
      </c>
      <c r="J411" s="7">
        <f t="shared" si="18"/>
        <v>55.557972079353412</v>
      </c>
      <c r="K411" s="7">
        <f t="shared" si="19"/>
        <v>56.839674368799265</v>
      </c>
      <c r="L411" s="8">
        <f t="shared" si="20"/>
        <v>50.903954951830542</v>
      </c>
      <c r="M411" s="2"/>
      <c r="N411" s="2"/>
    </row>
    <row r="412" spans="1:14" x14ac:dyDescent="0.2">
      <c r="A412" t="s">
        <v>450</v>
      </c>
      <c r="B412">
        <v>9</v>
      </c>
      <c r="C412" t="s">
        <v>458</v>
      </c>
      <c r="D412">
        <v>249985</v>
      </c>
      <c r="E412">
        <v>99102</v>
      </c>
      <c r="F412">
        <v>281849</v>
      </c>
      <c r="G412">
        <v>113600</v>
      </c>
      <c r="H412">
        <v>291613</v>
      </c>
      <c r="I412">
        <v>112210</v>
      </c>
      <c r="J412" s="7">
        <f t="shared" si="18"/>
        <v>-43.222176706666247</v>
      </c>
      <c r="K412" s="7">
        <f t="shared" si="19"/>
        <v>-42.546320764498077</v>
      </c>
      <c r="L412" s="8">
        <f t="shared" si="20"/>
        <v>-44.426147099100348</v>
      </c>
      <c r="M412" s="2"/>
      <c r="N412" s="2"/>
    </row>
    <row r="413" spans="1:14" x14ac:dyDescent="0.2">
      <c r="A413" t="s">
        <v>450</v>
      </c>
      <c r="B413">
        <v>10</v>
      </c>
      <c r="C413" t="s">
        <v>459</v>
      </c>
      <c r="D413">
        <v>148474</v>
      </c>
      <c r="E413">
        <v>174859</v>
      </c>
      <c r="F413">
        <v>165116</v>
      </c>
      <c r="G413">
        <v>239642</v>
      </c>
      <c r="H413">
        <v>186201</v>
      </c>
      <c r="I413">
        <v>221133</v>
      </c>
      <c r="J413" s="7">
        <f t="shared" si="18"/>
        <v>8.1603176910491655</v>
      </c>
      <c r="K413" s="7">
        <f t="shared" si="19"/>
        <v>18.412483508664437</v>
      </c>
      <c r="L413" s="8">
        <f t="shared" si="20"/>
        <v>8.5757633784560099</v>
      </c>
      <c r="M413" s="2"/>
      <c r="N413" s="2"/>
    </row>
    <row r="414" spans="1:14" x14ac:dyDescent="0.2">
      <c r="A414" t="s">
        <v>450</v>
      </c>
      <c r="B414">
        <v>11</v>
      </c>
      <c r="C414" t="s">
        <v>460</v>
      </c>
      <c r="D414">
        <v>115237</v>
      </c>
      <c r="E414">
        <v>247512</v>
      </c>
      <c r="F414">
        <v>121568</v>
      </c>
      <c r="G414">
        <v>296674</v>
      </c>
      <c r="H414">
        <v>130783</v>
      </c>
      <c r="I414">
        <v>273439</v>
      </c>
      <c r="J414" s="7">
        <f t="shared" si="18"/>
        <v>36.464607759084103</v>
      </c>
      <c r="K414" s="7">
        <f t="shared" si="19"/>
        <v>41.867148684254566</v>
      </c>
      <c r="L414" s="8">
        <f t="shared" si="20"/>
        <v>35.291498236117775</v>
      </c>
      <c r="M414" s="2"/>
      <c r="N414" s="2"/>
    </row>
    <row r="415" spans="1:14" x14ac:dyDescent="0.2">
      <c r="A415" t="s">
        <v>462</v>
      </c>
      <c r="B415">
        <v>1</v>
      </c>
      <c r="C415" t="s">
        <v>461</v>
      </c>
      <c r="D415">
        <v>95369</v>
      </c>
      <c r="E415">
        <v>196791</v>
      </c>
      <c r="F415">
        <v>112704</v>
      </c>
      <c r="G415">
        <v>242820</v>
      </c>
      <c r="H415">
        <v>119395</v>
      </c>
      <c r="I415">
        <v>235791</v>
      </c>
      <c r="J415" s="7">
        <f t="shared" si="18"/>
        <v>34.714539978094194</v>
      </c>
      <c r="K415" s="7">
        <f t="shared" si="19"/>
        <v>36.598373105613128</v>
      </c>
      <c r="L415" s="8">
        <f t="shared" si="20"/>
        <v>32.770435771680191</v>
      </c>
      <c r="M415" s="2"/>
      <c r="N415" s="2"/>
    </row>
    <row r="416" spans="1:14" x14ac:dyDescent="0.2">
      <c r="A416" t="s">
        <v>464</v>
      </c>
      <c r="B416">
        <v>1</v>
      </c>
      <c r="C416" t="s">
        <v>463</v>
      </c>
      <c r="D416">
        <v>104734</v>
      </c>
      <c r="E416">
        <v>186045</v>
      </c>
      <c r="F416">
        <v>130997</v>
      </c>
      <c r="G416">
        <v>251097</v>
      </c>
      <c r="H416">
        <v>126084</v>
      </c>
      <c r="I416">
        <v>232691</v>
      </c>
      <c r="J416" s="7">
        <f t="shared" si="18"/>
        <v>27.963161026071347</v>
      </c>
      <c r="K416" s="7">
        <f t="shared" si="19"/>
        <v>31.432055986223283</v>
      </c>
      <c r="L416" s="8">
        <f t="shared" si="20"/>
        <v>29.714166260190929</v>
      </c>
      <c r="M416" s="2"/>
      <c r="N416" s="2"/>
    </row>
    <row r="417" spans="1:14" x14ac:dyDescent="0.2">
      <c r="A417" t="s">
        <v>464</v>
      </c>
      <c r="B417">
        <v>2</v>
      </c>
      <c r="C417" t="s">
        <v>465</v>
      </c>
      <c r="D417">
        <v>128357</v>
      </c>
      <c r="E417">
        <v>190850</v>
      </c>
      <c r="F417">
        <v>162748</v>
      </c>
      <c r="G417">
        <v>263108</v>
      </c>
      <c r="H417">
        <v>154441</v>
      </c>
      <c r="I417">
        <v>254400</v>
      </c>
      <c r="J417" s="7">
        <f t="shared" si="18"/>
        <v>19.577578185942038</v>
      </c>
      <c r="K417" s="7">
        <f t="shared" si="19"/>
        <v>23.566651638112411</v>
      </c>
      <c r="L417" s="8">
        <f t="shared" si="20"/>
        <v>24.449358063403622</v>
      </c>
      <c r="M417" s="2"/>
      <c r="N417" s="2"/>
    </row>
    <row r="418" spans="1:14" x14ac:dyDescent="0.2">
      <c r="A418" t="s">
        <v>464</v>
      </c>
      <c r="B418">
        <v>3</v>
      </c>
      <c r="C418" t="s">
        <v>466</v>
      </c>
      <c r="D418">
        <v>156076</v>
      </c>
      <c r="E418">
        <v>132409</v>
      </c>
      <c r="F418">
        <v>213802</v>
      </c>
      <c r="G418">
        <v>196228</v>
      </c>
      <c r="H418">
        <v>211907</v>
      </c>
      <c r="I418">
        <v>197986</v>
      </c>
      <c r="J418" s="7">
        <f t="shared" si="18"/>
        <v>-8.2038927500563279</v>
      </c>
      <c r="K418" s="7">
        <f t="shared" si="19"/>
        <v>-4.2860278516206129</v>
      </c>
      <c r="L418" s="8">
        <f t="shared" si="20"/>
        <v>-3.3962521926453979</v>
      </c>
      <c r="M418" s="2"/>
      <c r="N418" s="2"/>
    </row>
    <row r="419" spans="1:14" x14ac:dyDescent="0.2">
      <c r="A419" t="s">
        <v>464</v>
      </c>
      <c r="B419">
        <v>4</v>
      </c>
      <c r="C419" t="s">
        <v>467</v>
      </c>
      <c r="D419">
        <v>144248</v>
      </c>
      <c r="E419">
        <v>89658</v>
      </c>
      <c r="F419">
        <v>184399</v>
      </c>
      <c r="G419">
        <v>129752</v>
      </c>
      <c r="H419">
        <v>183219</v>
      </c>
      <c r="I419">
        <v>119032</v>
      </c>
      <c r="J419" s="7">
        <f t="shared" si="18"/>
        <v>-23.338435097859826</v>
      </c>
      <c r="K419" s="7">
        <f t="shared" si="19"/>
        <v>-17.395138006882043</v>
      </c>
      <c r="L419" s="8">
        <f t="shared" si="20"/>
        <v>-21.236323453024141</v>
      </c>
      <c r="M419" s="2"/>
      <c r="N419" s="2"/>
    </row>
    <row r="420" spans="1:14" x14ac:dyDescent="0.2">
      <c r="A420" t="s">
        <v>464</v>
      </c>
      <c r="B420">
        <v>5</v>
      </c>
      <c r="C420" t="s">
        <v>468</v>
      </c>
      <c r="D420">
        <v>172282</v>
      </c>
      <c r="E420">
        <v>126385</v>
      </c>
      <c r="F420">
        <v>222061</v>
      </c>
      <c r="G420">
        <v>180712</v>
      </c>
      <c r="H420">
        <v>217375</v>
      </c>
      <c r="I420">
        <v>173909</v>
      </c>
      <c r="J420" s="7">
        <f t="shared" si="18"/>
        <v>-15.367281956158532</v>
      </c>
      <c r="K420" s="7">
        <f t="shared" si="19"/>
        <v>-10.266080397643337</v>
      </c>
      <c r="L420" s="8">
        <f t="shared" si="20"/>
        <v>-11.108555422659757</v>
      </c>
      <c r="M420" s="2"/>
      <c r="N420" s="2"/>
    </row>
    <row r="421" spans="1:14" x14ac:dyDescent="0.2">
      <c r="A421" t="s">
        <v>464</v>
      </c>
      <c r="B421">
        <v>6</v>
      </c>
      <c r="C421" t="s">
        <v>469</v>
      </c>
      <c r="D421">
        <v>138215</v>
      </c>
      <c r="E421">
        <v>179679</v>
      </c>
      <c r="F421">
        <v>177310</v>
      </c>
      <c r="G421">
        <v>253691</v>
      </c>
      <c r="H421">
        <v>168264</v>
      </c>
      <c r="I421">
        <v>251826</v>
      </c>
      <c r="J421" s="7">
        <f t="shared" si="18"/>
        <v>13.043341491188887</v>
      </c>
      <c r="K421" s="7">
        <f t="shared" si="19"/>
        <v>17.721768626986943</v>
      </c>
      <c r="L421" s="8">
        <f t="shared" si="20"/>
        <v>19.891451831750338</v>
      </c>
      <c r="M421" s="2"/>
      <c r="N421" s="2"/>
    </row>
    <row r="422" spans="1:14" x14ac:dyDescent="0.2">
      <c r="A422" t="s">
        <v>464</v>
      </c>
      <c r="B422">
        <v>7</v>
      </c>
      <c r="C422" t="s">
        <v>470</v>
      </c>
      <c r="D422">
        <v>43784</v>
      </c>
      <c r="E422">
        <v>331299</v>
      </c>
      <c r="F422">
        <v>51332</v>
      </c>
      <c r="G422">
        <v>396987</v>
      </c>
      <c r="H422">
        <v>47188</v>
      </c>
      <c r="I422">
        <v>373392</v>
      </c>
      <c r="J422" s="7">
        <f t="shared" si="18"/>
        <v>76.65370064759</v>
      </c>
      <c r="K422" s="7">
        <f t="shared" si="19"/>
        <v>77.100234431286651</v>
      </c>
      <c r="L422" s="8">
        <f t="shared" si="20"/>
        <v>77.560511674354458</v>
      </c>
      <c r="M422" s="2"/>
      <c r="N422" s="2"/>
    </row>
    <row r="423" spans="1:14" x14ac:dyDescent="0.2">
      <c r="A423" t="s">
        <v>464</v>
      </c>
      <c r="B423">
        <v>8</v>
      </c>
      <c r="C423" t="s">
        <v>471</v>
      </c>
      <c r="D423">
        <v>149577</v>
      </c>
      <c r="E423">
        <v>160415</v>
      </c>
      <c r="F423">
        <v>197326</v>
      </c>
      <c r="G423">
        <v>226712</v>
      </c>
      <c r="H423">
        <v>193710</v>
      </c>
      <c r="I423">
        <v>218294</v>
      </c>
      <c r="J423" s="7">
        <f t="shared" si="18"/>
        <v>3.4962192572711555</v>
      </c>
      <c r="K423" s="7">
        <f t="shared" si="19"/>
        <v>6.9300392889316527</v>
      </c>
      <c r="L423" s="8">
        <f t="shared" si="20"/>
        <v>5.9669323598800013</v>
      </c>
      <c r="M423" s="2"/>
      <c r="N423" s="2"/>
    </row>
    <row r="424" spans="1:14" x14ac:dyDescent="0.2">
      <c r="A424" t="s">
        <v>464</v>
      </c>
      <c r="B424">
        <v>9</v>
      </c>
      <c r="C424" t="s">
        <v>472</v>
      </c>
      <c r="D424">
        <v>70804</v>
      </c>
      <c r="E424">
        <v>194467</v>
      </c>
      <c r="F424">
        <v>94330</v>
      </c>
      <c r="G424">
        <v>254376</v>
      </c>
      <c r="H424">
        <v>88121</v>
      </c>
      <c r="I424">
        <v>219426</v>
      </c>
      <c r="J424" s="7">
        <f t="shared" si="18"/>
        <v>46.617609915897326</v>
      </c>
      <c r="K424" s="7">
        <f t="shared" si="19"/>
        <v>45.897116768853991</v>
      </c>
      <c r="L424" s="8">
        <f t="shared" si="20"/>
        <v>42.69428737721389</v>
      </c>
      <c r="M424" s="2"/>
      <c r="N424" s="2"/>
    </row>
    <row r="425" spans="1:14" x14ac:dyDescent="0.2">
      <c r="A425" t="s">
        <v>464</v>
      </c>
      <c r="B425">
        <v>10</v>
      </c>
      <c r="C425" t="s">
        <v>473</v>
      </c>
      <c r="D425">
        <v>113253</v>
      </c>
      <c r="E425">
        <v>150990</v>
      </c>
      <c r="F425">
        <v>150089</v>
      </c>
      <c r="G425">
        <v>216706</v>
      </c>
      <c r="H425">
        <v>140614</v>
      </c>
      <c r="I425">
        <v>204893</v>
      </c>
      <c r="J425" s="7">
        <f t="shared" si="18"/>
        <v>14.281173011205595</v>
      </c>
      <c r="K425" s="7">
        <f t="shared" si="19"/>
        <v>18.161916056652899</v>
      </c>
      <c r="L425" s="8">
        <f t="shared" si="20"/>
        <v>18.604254038268401</v>
      </c>
      <c r="M425" s="2"/>
      <c r="N425" s="2"/>
    </row>
    <row r="426" spans="1:14" x14ac:dyDescent="0.2">
      <c r="A426" t="s">
        <v>475</v>
      </c>
      <c r="B426">
        <v>1</v>
      </c>
      <c r="C426" t="s">
        <v>474</v>
      </c>
      <c r="D426">
        <v>168670</v>
      </c>
      <c r="E426">
        <v>159160</v>
      </c>
      <c r="F426">
        <v>198227</v>
      </c>
      <c r="G426">
        <v>190011</v>
      </c>
      <c r="H426">
        <v>207736</v>
      </c>
      <c r="I426">
        <v>189560</v>
      </c>
      <c r="J426" s="7">
        <f t="shared" si="18"/>
        <v>-2.9008937559100754</v>
      </c>
      <c r="K426" s="7">
        <f t="shared" si="19"/>
        <v>-2.1162276747768121</v>
      </c>
      <c r="L426" s="8">
        <f t="shared" si="20"/>
        <v>-4.5749265031613708</v>
      </c>
      <c r="M426" s="2"/>
      <c r="N426" s="2"/>
    </row>
    <row r="427" spans="1:14" x14ac:dyDescent="0.2">
      <c r="A427" t="s">
        <v>475</v>
      </c>
      <c r="B427">
        <v>2</v>
      </c>
      <c r="C427" t="s">
        <v>476</v>
      </c>
      <c r="D427">
        <v>110488</v>
      </c>
      <c r="E427">
        <v>259857</v>
      </c>
      <c r="F427">
        <v>125535</v>
      </c>
      <c r="G427">
        <v>310799</v>
      </c>
      <c r="H427">
        <v>136735</v>
      </c>
      <c r="I427">
        <v>324784</v>
      </c>
      <c r="J427" s="7">
        <f t="shared" si="18"/>
        <v>40.332392768904668</v>
      </c>
      <c r="K427" s="7">
        <f t="shared" si="19"/>
        <v>42.459217021822731</v>
      </c>
      <c r="L427" s="8">
        <f t="shared" si="20"/>
        <v>40.745668109005265</v>
      </c>
      <c r="M427" s="2"/>
      <c r="N427" s="2"/>
    </row>
    <row r="428" spans="1:14" x14ac:dyDescent="0.2">
      <c r="A428" t="s">
        <v>475</v>
      </c>
      <c r="B428">
        <v>3</v>
      </c>
      <c r="C428" t="s">
        <v>477</v>
      </c>
      <c r="D428">
        <v>178045</v>
      </c>
      <c r="E428">
        <v>161517</v>
      </c>
      <c r="F428">
        <v>203752</v>
      </c>
      <c r="G428">
        <v>184908</v>
      </c>
      <c r="H428">
        <v>222857</v>
      </c>
      <c r="I428">
        <v>191708</v>
      </c>
      <c r="J428" s="7">
        <f t="shared" si="18"/>
        <v>-4.8674468874609058</v>
      </c>
      <c r="K428" s="7">
        <f t="shared" si="19"/>
        <v>-4.8484536612977926</v>
      </c>
      <c r="L428" s="8">
        <f t="shared" si="20"/>
        <v>-7.513658895468744</v>
      </c>
      <c r="M428" s="2"/>
      <c r="N428" s="2"/>
    </row>
    <row r="429" spans="1:14" x14ac:dyDescent="0.2">
      <c r="A429" t="s">
        <v>475</v>
      </c>
      <c r="B429">
        <v>4</v>
      </c>
      <c r="C429" t="s">
        <v>478</v>
      </c>
      <c r="D429">
        <v>74863</v>
      </c>
      <c r="E429">
        <v>242129</v>
      </c>
      <c r="F429">
        <v>78259</v>
      </c>
      <c r="G429">
        <v>260091</v>
      </c>
      <c r="H429">
        <v>80483</v>
      </c>
      <c r="I429">
        <v>258176</v>
      </c>
      <c r="J429" s="7">
        <f t="shared" si="18"/>
        <v>52.766631334544719</v>
      </c>
      <c r="K429" s="7">
        <f t="shared" si="19"/>
        <v>53.740800945766217</v>
      </c>
      <c r="L429" s="8">
        <f t="shared" si="20"/>
        <v>52.469593307722519</v>
      </c>
      <c r="M429" s="2"/>
      <c r="N429" s="2"/>
    </row>
    <row r="430" spans="1:14" x14ac:dyDescent="0.2">
      <c r="A430" t="s">
        <v>475</v>
      </c>
      <c r="B430">
        <v>5</v>
      </c>
      <c r="C430" t="s">
        <v>479</v>
      </c>
      <c r="D430">
        <v>249261</v>
      </c>
      <c r="E430">
        <v>137694</v>
      </c>
      <c r="F430">
        <v>282344</v>
      </c>
      <c r="G430">
        <v>175911</v>
      </c>
      <c r="H430">
        <v>290101</v>
      </c>
      <c r="I430">
        <v>183713</v>
      </c>
      <c r="J430" s="7">
        <f>(E430-D430)/(E430+D430)*100</f>
        <v>-28.832034732720857</v>
      </c>
      <c r="K430" s="7">
        <f>(G430-F430)/(G430+F430)*100</f>
        <v>-23.225714940371628</v>
      </c>
      <c r="L430" s="8">
        <f>(I430-H430)/(I430+H430)*100</f>
        <v>-22.453536619855051</v>
      </c>
      <c r="M430" s="2"/>
      <c r="N430" s="2"/>
    </row>
    <row r="431" spans="1:14" x14ac:dyDescent="0.2">
      <c r="A431" t="s">
        <v>475</v>
      </c>
      <c r="B431">
        <v>6</v>
      </c>
      <c r="C431" t="s">
        <v>480</v>
      </c>
      <c r="D431">
        <v>206530</v>
      </c>
      <c r="E431">
        <v>142900</v>
      </c>
      <c r="F431">
        <v>236847</v>
      </c>
      <c r="G431">
        <v>171799</v>
      </c>
      <c r="H431">
        <v>245778</v>
      </c>
      <c r="I431">
        <v>175452</v>
      </c>
      <c r="J431" s="7">
        <f>(E431-D431)/(E431+D431)*100</f>
        <v>-18.209655725037919</v>
      </c>
      <c r="K431" s="7">
        <f>(G431-F431)/(G431+F431)*100</f>
        <v>-15.917933859624222</v>
      </c>
      <c r="L431" s="8">
        <f>(I431-H431)/(I431+H431)*100</f>
        <v>-16.695392066092158</v>
      </c>
      <c r="M431" s="2"/>
      <c r="N431" s="2"/>
    </row>
    <row r="432" spans="1:14" x14ac:dyDescent="0.2">
      <c r="A432" t="s">
        <v>475</v>
      </c>
      <c r="B432">
        <v>7</v>
      </c>
      <c r="C432" t="s">
        <v>481</v>
      </c>
      <c r="D432">
        <v>214171</v>
      </c>
      <c r="E432">
        <v>138211</v>
      </c>
      <c r="F432">
        <v>249579</v>
      </c>
      <c r="G432">
        <v>165753</v>
      </c>
      <c r="H432">
        <v>266844</v>
      </c>
      <c r="I432">
        <v>167604</v>
      </c>
      <c r="J432" s="7">
        <f>(E432-D432)/(E432+D432)*100</f>
        <v>-21.55615213035853</v>
      </c>
      <c r="K432" s="7">
        <f>(G432-F432)/(G432+F432)*100</f>
        <v>-20.182889832712146</v>
      </c>
      <c r="L432" s="8">
        <f>(I432-H432)/(I432+H432)*100</f>
        <v>-22.842779803336651</v>
      </c>
      <c r="M432" s="2"/>
      <c r="N432" s="2"/>
    </row>
    <row r="433" spans="1:14" x14ac:dyDescent="0.2">
      <c r="A433" t="s">
        <v>475</v>
      </c>
      <c r="B433">
        <v>8</v>
      </c>
      <c r="C433" t="s">
        <v>482</v>
      </c>
      <c r="D433">
        <v>202208</v>
      </c>
      <c r="E433">
        <v>139886</v>
      </c>
      <c r="F433">
        <v>234477</v>
      </c>
      <c r="G433">
        <v>170760</v>
      </c>
      <c r="H433">
        <v>247092</v>
      </c>
      <c r="I433">
        <v>177232</v>
      </c>
      <c r="J433" s="7">
        <f>(E433-D433)/(E433+D433)*100</f>
        <v>-18.217799786023726</v>
      </c>
      <c r="K433" s="7">
        <f>(G433-F433)/(G433+F433)*100</f>
        <v>-15.723391496827782</v>
      </c>
      <c r="L433" s="8">
        <f>(I433-H433)/(I433+H433)*100</f>
        <v>-16.463834239873304</v>
      </c>
      <c r="M433" s="2"/>
      <c r="N433" s="2"/>
    </row>
    <row r="434" spans="1:14" x14ac:dyDescent="0.2">
      <c r="A434" t="s">
        <v>484</v>
      </c>
      <c r="B434">
        <v>1</v>
      </c>
      <c r="C434" t="s">
        <v>483</v>
      </c>
      <c r="D434">
        <v>247238</v>
      </c>
      <c r="E434">
        <v>92536</v>
      </c>
      <c r="F434">
        <v>273401</v>
      </c>
      <c r="G434">
        <v>112598</v>
      </c>
      <c r="H434">
        <v>259831</v>
      </c>
      <c r="I434">
        <v>98066</v>
      </c>
      <c r="J434" s="7">
        <f>(E434-D434)/(E434+D434)*100</f>
        <v>-45.530852861019383</v>
      </c>
      <c r="K434" s="7">
        <f>(G434-F434)/(G434+F434)*100</f>
        <v>-41.658916214808848</v>
      </c>
      <c r="L434" s="8">
        <f>(I434-H434)/(I434+H434)*100</f>
        <v>-45.198758301969562</v>
      </c>
      <c r="M434" s="2"/>
      <c r="N434" s="2"/>
    </row>
    <row r="435" spans="1:14" x14ac:dyDescent="0.2">
      <c r="A435" t="s">
        <v>484</v>
      </c>
      <c r="B435">
        <v>2</v>
      </c>
      <c r="C435" t="s">
        <v>485</v>
      </c>
      <c r="D435">
        <v>242074</v>
      </c>
      <c r="E435">
        <v>95456</v>
      </c>
      <c r="F435">
        <v>271676</v>
      </c>
      <c r="G435">
        <v>122650</v>
      </c>
      <c r="H435">
        <v>273725</v>
      </c>
      <c r="I435">
        <v>116243</v>
      </c>
      <c r="J435" s="7">
        <f>(E435-D435)/(E435+D435)*100</f>
        <v>-43.438509169555303</v>
      </c>
      <c r="K435" s="7">
        <f>(G435-F435)/(G435+F435)*100</f>
        <v>-37.792587858776749</v>
      </c>
      <c r="L435" s="8">
        <f>(I435-H435)/(I435+H435)*100</f>
        <v>-40.383313502646374</v>
      </c>
      <c r="M435" s="2"/>
      <c r="N435" s="2"/>
    </row>
    <row r="436" spans="1:14" x14ac:dyDescent="0.2">
      <c r="A436" t="s">
        <v>487</v>
      </c>
      <c r="B436">
        <v>1</v>
      </c>
      <c r="C436" t="s">
        <v>486</v>
      </c>
      <c r="D436">
        <v>174419</v>
      </c>
      <c r="E436">
        <v>55973</v>
      </c>
      <c r="F436">
        <v>193559</v>
      </c>
      <c r="G436">
        <v>73491</v>
      </c>
      <c r="H436">
        <v>192633</v>
      </c>
      <c r="I436">
        <v>69527</v>
      </c>
      <c r="J436" s="7">
        <f>(E436-D436)/(E436+D436)*100</f>
        <v>-51.410639258307576</v>
      </c>
      <c r="K436" s="7">
        <f>(G436-F436)/(G436+F436)*100</f>
        <v>-44.960868751170189</v>
      </c>
      <c r="L436" s="8">
        <f>(I436-H436)/(I436+H436)*100</f>
        <v>-46.958346048214835</v>
      </c>
      <c r="M436" s="2"/>
      <c r="N436" s="2"/>
    </row>
    <row r="437" spans="1:14" x14ac:dyDescent="0.2">
      <c r="L437" s="2"/>
      <c r="M437" s="2"/>
      <c r="N437" s="2"/>
    </row>
    <row r="438" spans="1:14" x14ac:dyDescent="0.2">
      <c r="L438" s="2"/>
      <c r="M438" s="2"/>
      <c r="N438" s="2"/>
    </row>
    <row r="439" spans="1:14" x14ac:dyDescent="0.2">
      <c r="L439" s="2"/>
      <c r="M439" s="2"/>
      <c r="N439" s="2"/>
    </row>
  </sheetData>
  <conditionalFormatting sqref="J2:L436">
    <cfRule type="cellIs" dxfId="1" priority="1" operator="lessThan">
      <formula>0</formula>
    </cfRule>
  </conditionalFormatting>
  <conditionalFormatting sqref="J2:L436"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DA32-20A5-E749-B135-F54DF1196EEC}">
  <dimension ref="A1:J51"/>
  <sheetViews>
    <sheetView tabSelected="1" workbookViewId="0">
      <pane ySplit="1" topLeftCell="A2" activePane="bottomLeft" state="frozen"/>
      <selection pane="bottomLeft" activeCell="I11" sqref="I11"/>
    </sheetView>
  </sheetViews>
  <sheetFormatPr baseColWidth="10" defaultRowHeight="16" x14ac:dyDescent="0.2"/>
  <cols>
    <col min="1" max="1" width="5.5" bestFit="1" customWidth="1"/>
    <col min="2" max="2" width="9.1640625" bestFit="1" customWidth="1"/>
    <col min="3" max="3" width="9.83203125" bestFit="1" customWidth="1"/>
    <col min="4" max="4" width="9.1640625" bestFit="1" customWidth="1"/>
    <col min="5" max="5" width="10.1640625" bestFit="1" customWidth="1"/>
    <col min="6" max="7" width="9.1640625" bestFit="1" customWidth="1"/>
    <col min="8" max="10" width="14.33203125" bestFit="1" customWidth="1"/>
  </cols>
  <sheetData>
    <row r="1" spans="1:10" x14ac:dyDescent="0.2">
      <c r="A1" s="4" t="s">
        <v>2</v>
      </c>
      <c r="B1" s="4" t="s">
        <v>488</v>
      </c>
      <c r="C1" s="4" t="s">
        <v>489</v>
      </c>
      <c r="D1" s="4" t="s">
        <v>490</v>
      </c>
      <c r="E1" s="4" t="s">
        <v>491</v>
      </c>
      <c r="F1" s="4" t="s">
        <v>492</v>
      </c>
      <c r="G1" s="4" t="s">
        <v>493</v>
      </c>
      <c r="H1" s="4" t="s">
        <v>494</v>
      </c>
      <c r="I1" s="4" t="s">
        <v>495</v>
      </c>
      <c r="J1" s="4" t="s">
        <v>496</v>
      </c>
    </row>
    <row r="2" spans="1:10" x14ac:dyDescent="0.2">
      <c r="A2" t="s">
        <v>4</v>
      </c>
      <c r="B2" s="5">
        <f>SUMIF(districts!A:A,"AK",districts!D:D)</f>
        <v>163387</v>
      </c>
      <c r="C2" s="5">
        <f>SUMIF(districts!A:A,"AK",districts!E:E)</f>
        <v>116454</v>
      </c>
      <c r="D2" s="5">
        <f>SUMIF(districts!A:A,"AK",districts!F:F)</f>
        <v>189951</v>
      </c>
      <c r="E2" s="5">
        <f>SUMIF(districts!A:A,"AK",districts!G:G)</f>
        <v>153778</v>
      </c>
      <c r="F2" s="5">
        <f>SUMIF(districts!A:A,"AK",districts!H:H)</f>
        <v>184458</v>
      </c>
      <c r="G2" s="5">
        <f>SUMIF(districts!A:A,"AK",districts!I:I)</f>
        <v>140026</v>
      </c>
      <c r="H2" s="7">
        <f>(C2-B2)/(C2+B2)*100</f>
        <v>-16.771309422136142</v>
      </c>
      <c r="I2" s="7">
        <f>(E2-D2)/(E2+D2)*100</f>
        <v>-10.523697447698623</v>
      </c>
      <c r="J2" s="7">
        <f>(G2-F2)/(G2+F2)*100</f>
        <v>-13.693125084749941</v>
      </c>
    </row>
    <row r="3" spans="1:10" x14ac:dyDescent="0.2">
      <c r="A3" t="s">
        <v>6</v>
      </c>
      <c r="B3" s="5">
        <f>SUMIF(districts!A:A,"AL",districts!D:D)</f>
        <v>1318606</v>
      </c>
      <c r="C3" s="5">
        <f>SUMIF(districts!A:A,"AL",districts!E:E)</f>
        <v>729590</v>
      </c>
      <c r="D3" s="5">
        <f>SUMIF(districts!A:A,"AL",districts!F:F)</f>
        <v>1441155</v>
      </c>
      <c r="E3" s="5">
        <f>SUMIF(districts!A:A,"AL",districts!G:G)</f>
        <v>849606</v>
      </c>
      <c r="F3" s="5">
        <f>SUMIF(districts!A:A,"AL",districts!H:H)</f>
        <v>1462615</v>
      </c>
      <c r="G3" s="5">
        <f>SUMIF(districts!A:A,"AL",districts!I:I)</f>
        <v>772410</v>
      </c>
      <c r="H3" s="7">
        <f>(C3-B3)/(C3+B3)*100</f>
        <v>-28.75779466418253</v>
      </c>
      <c r="I3" s="7">
        <f>(E3-D3)/(E3+D3)*100</f>
        <v>-25.823252622163551</v>
      </c>
      <c r="J3" s="7">
        <f>(G3-F3)/(G3+F3)*100</f>
        <v>-30.881310052460265</v>
      </c>
    </row>
    <row r="4" spans="1:10" x14ac:dyDescent="0.2">
      <c r="A4" t="s">
        <v>14</v>
      </c>
      <c r="B4" s="5">
        <f>SUMIF(districts!A:A,"AR",districts!D:D)</f>
        <v>684289</v>
      </c>
      <c r="C4" s="5">
        <f>SUMIF(districts!A:A,"AR",districts!E:E)</f>
        <v>378992</v>
      </c>
      <c r="D4" s="5">
        <f>SUMIF(districts!A:A,"AR",districts!F:F)</f>
        <v>759672</v>
      </c>
      <c r="E4" s="5">
        <f>SUMIF(districts!A:A,"AR",districts!G:G)</f>
        <v>422300</v>
      </c>
      <c r="F4" s="5">
        <f>SUMIF(districts!A:A,"AR",districts!H:H)</f>
        <v>759241</v>
      </c>
      <c r="G4" s="5">
        <f>SUMIF(districts!A:A,"AR",districts!I:I)</f>
        <v>396905</v>
      </c>
      <c r="H4" s="7">
        <f>(C4-B4)/(C4+B4)*100</f>
        <v>-28.712729748768201</v>
      </c>
      <c r="I4" s="7">
        <f>(E4-D4)/(E4+D4)*100</f>
        <v>-28.543146538158265</v>
      </c>
      <c r="J4" s="7">
        <f>(G4-F4)/(G4+F4)*100</f>
        <v>-31.339986472296751</v>
      </c>
    </row>
    <row r="5" spans="1:10" x14ac:dyDescent="0.2">
      <c r="A5" t="s">
        <v>19</v>
      </c>
      <c r="B5" s="5">
        <f>SUMIF(districts!A:A,"AZ",districts!D:D)</f>
        <v>1249676</v>
      </c>
      <c r="C5" s="5">
        <f>SUMIF(districts!A:A,"AZ",districts!E:E)</f>
        <v>1160578</v>
      </c>
      <c r="D5" s="5">
        <f>SUMIF(districts!A:A,"AZ",districts!F:F)</f>
        <v>1661284</v>
      </c>
      <c r="E5" s="5">
        <f>SUMIF(districts!A:A,"AZ",districts!G:G)</f>
        <v>1671572</v>
      </c>
      <c r="F5" s="5">
        <f>SUMIF(districts!A:A,"AZ",districts!H:H)</f>
        <v>1770242</v>
      </c>
      <c r="G5" s="5">
        <f>SUMIF(districts!A:A,"AZ",districts!I:I)</f>
        <v>1582860</v>
      </c>
      <c r="H5" s="7">
        <f>(C5-B5)/(C5+B5)*100</f>
        <v>-3.6966228455590158</v>
      </c>
      <c r="I5" s="7">
        <f>(E5-D5)/(E5+D5)*100</f>
        <v>0.30868420357795234</v>
      </c>
      <c r="J5" s="7">
        <f>(G5-F5)/(G5+F5)*100</f>
        <v>-5.5883179217333687</v>
      </c>
    </row>
    <row r="6" spans="1:10" x14ac:dyDescent="0.2">
      <c r="A6" t="s">
        <v>29</v>
      </c>
      <c r="B6" s="5">
        <f>SUMIF(districts!A:A,"CA",districts!D:D)</f>
        <v>4483301</v>
      </c>
      <c r="C6" s="5">
        <f>SUMIF(districts!A:A,"CA",districts!E:E)</f>
        <v>8752066</v>
      </c>
      <c r="D6" s="5">
        <f>SUMIF(districts!A:A,"CA",districts!F:F)</f>
        <v>6006428</v>
      </c>
      <c r="E6" s="5">
        <f>SUMIF(districts!A:A,"CA",districts!G:G)</f>
        <v>11110493</v>
      </c>
      <c r="F6" s="5">
        <f>SUMIF(districts!A:A,"CA",districts!H:H)</f>
        <v>6077541</v>
      </c>
      <c r="G6" s="5">
        <f>SUMIF(districts!A:A,"CA",districts!I:I)</f>
        <v>9273042</v>
      </c>
      <c r="H6" s="7">
        <f>(C6-B6)/(C6+B6)*100</f>
        <v>32.252713506168739</v>
      </c>
      <c r="I6" s="7">
        <f>(E6-D6)/(E6+D6)*100</f>
        <v>29.818826645282758</v>
      </c>
      <c r="J6" s="7">
        <f>(G6-F6)/(G6+F6)*100</f>
        <v>20.816805459440857</v>
      </c>
    </row>
    <row r="7" spans="1:10" x14ac:dyDescent="0.2">
      <c r="A7" t="s">
        <v>82</v>
      </c>
      <c r="B7" s="5">
        <f>SUMIF(districts!A:A,"CO",districts!D:D)</f>
        <v>1202349</v>
      </c>
      <c r="C7" s="5">
        <f>SUMIF(districts!A:A,"CO",districts!E:E)</f>
        <v>1337987</v>
      </c>
      <c r="D7" s="5">
        <f>SUMIF(districts!A:A,"CO",districts!F:F)</f>
        <v>1364637</v>
      </c>
      <c r="E7" s="5">
        <f>SUMIF(districts!A:A,"CO",districts!G:G)</f>
        <v>1803839</v>
      </c>
      <c r="F7" s="5">
        <f>SUMIF(districts!A:A,"CO",districts!H:H)</f>
        <v>1377441</v>
      </c>
      <c r="G7" s="5">
        <f>SUMIF(districts!A:A,"CO",districts!I:I)</f>
        <v>1728161</v>
      </c>
      <c r="H7" s="7">
        <f>(C7-B7)/(C7+B7)*100</f>
        <v>5.3393724294738965</v>
      </c>
      <c r="I7" s="7">
        <f>(E7-D7)/(E7+D7)*100</f>
        <v>13.86161675202842</v>
      </c>
      <c r="J7" s="7">
        <f>(G7-F7)/(G7+F7)*100</f>
        <v>11.293140589167574</v>
      </c>
    </row>
    <row r="8" spans="1:10" x14ac:dyDescent="0.2">
      <c r="A8" t="s">
        <v>91</v>
      </c>
      <c r="B8" s="5">
        <f>SUMIF(districts!A:A,"CT",districts!D:D)</f>
        <v>673215</v>
      </c>
      <c r="C8" s="5">
        <f>SUMIF(districts!A:A,"CT",districts!E:E)</f>
        <v>897541</v>
      </c>
      <c r="D8" s="5">
        <f>SUMIF(districts!A:A,"CT",districts!F:F)</f>
        <v>714790</v>
      </c>
      <c r="E8" s="5">
        <f>SUMIF(districts!A:A,"CT",districts!G:G)</f>
        <v>1080696</v>
      </c>
      <c r="F8" s="5">
        <f>SUMIF(districts!A:A,"CT",districts!H:H)</f>
        <v>736918</v>
      </c>
      <c r="G8" s="5">
        <f>SUMIF(districts!A:A,"CT",districts!I:I)</f>
        <v>992053</v>
      </c>
      <c r="H8" s="7">
        <f>(C8-B8)/(C8+B8)*100</f>
        <v>14.281403349724592</v>
      </c>
      <c r="I8" s="7">
        <f>(E8-D8)/(E8+D8)*100</f>
        <v>20.379217660288081</v>
      </c>
      <c r="J8" s="7">
        <f>(G8-F8)/(G8+F8)*100</f>
        <v>14.756464972518335</v>
      </c>
    </row>
    <row r="9" spans="1:10" x14ac:dyDescent="0.2">
      <c r="A9" t="s">
        <v>97</v>
      </c>
      <c r="B9" s="5">
        <f>SUMIF(districts!A:A,"DE",districts!D:D)</f>
        <v>185127</v>
      </c>
      <c r="C9" s="5">
        <f>SUMIF(districts!A:A,"DE",districts!E:E)</f>
        <v>235603</v>
      </c>
      <c r="D9" s="5">
        <f>SUMIF(districts!A:A,"DE",districts!F:F)</f>
        <v>200603</v>
      </c>
      <c r="E9" s="5">
        <f>SUMIF(districts!A:A,"DE",districts!G:G)</f>
        <v>296268</v>
      </c>
      <c r="F9" s="5">
        <f>SUMIF(districts!A:A,"DE",districts!H:H)</f>
        <v>214351</v>
      </c>
      <c r="G9" s="5">
        <f>SUMIF(districts!A:A,"DE",districts!I:I)</f>
        <v>289758</v>
      </c>
      <c r="H9" s="7">
        <f>(C9-B9)/(C9+B9)*100</f>
        <v>11.997242887362441</v>
      </c>
      <c r="I9" s="7">
        <f>(E9-D9)/(E9+D9)*100</f>
        <v>19.253488329968945</v>
      </c>
      <c r="J9" s="7">
        <f>(G9-F9)/(G9+F9)*100</f>
        <v>14.958471282996335</v>
      </c>
    </row>
    <row r="10" spans="1:10" x14ac:dyDescent="0.2">
      <c r="A10" t="s">
        <v>99</v>
      </c>
      <c r="B10" s="5">
        <f>SUMIF(districts!A:A,"FL",districts!D:D)</f>
        <v>4617216</v>
      </c>
      <c r="C10" s="5">
        <f>SUMIF(districts!A:A,"FL",districts!E:E)</f>
        <v>4504070</v>
      </c>
      <c r="D10" s="5">
        <f>SUMIF(districts!A:A,"FL",districts!F:F)</f>
        <v>5668377</v>
      </c>
      <c r="E10" s="5">
        <f>SUMIF(districts!A:A,"FL",districts!G:G)</f>
        <v>5296464</v>
      </c>
      <c r="F10" s="5">
        <f>SUMIF(districts!A:A,"FL",districts!H:H)</f>
        <v>6108350</v>
      </c>
      <c r="G10" s="5">
        <f>SUMIF(districts!A:A,"FL",districts!I:I)</f>
        <v>4679230</v>
      </c>
      <c r="H10" s="7">
        <f>(C10-B10)/(C10+B10)*100</f>
        <v>-1.2404610490231311</v>
      </c>
      <c r="I10" s="7">
        <f>(E10-D10)/(E10+D10)*100</f>
        <v>-3.3918686098594586</v>
      </c>
      <c r="J10" s="7">
        <f>(G10-F10)/(G10+F10)*100</f>
        <v>-13.247827594326067</v>
      </c>
    </row>
    <row r="11" spans="1:10" x14ac:dyDescent="0.2">
      <c r="A11" t="s">
        <v>128</v>
      </c>
      <c r="B11" s="5">
        <f>SUMIF(districts!A:A,"GA",districts!D:D)</f>
        <v>2087969</v>
      </c>
      <c r="C11" s="5">
        <f>SUMIF(districts!A:A,"GA",districts!E:E)</f>
        <v>1876505</v>
      </c>
      <c r="D11" s="5">
        <f>SUMIF(districts!A:A,"GA",districts!F:F)</f>
        <v>2461422</v>
      </c>
      <c r="E11" s="5">
        <f>SUMIF(districts!A:A,"GA",districts!G:G)</f>
        <v>2473253</v>
      </c>
      <c r="F11" s="5">
        <f>SUMIF(districts!A:A,"GA",districts!H:H)</f>
        <v>2663073</v>
      </c>
      <c r="G11" s="5">
        <f>SUMIF(districts!A:A,"GA",districts!I:I)</f>
        <v>2547775</v>
      </c>
      <c r="H11" s="7">
        <f>(C11-B11)/(C11+B11)*100</f>
        <v>-5.3339736873037884</v>
      </c>
      <c r="I11" s="7">
        <f>(E11-D11)/(E11+D11)*100</f>
        <v>0.23975236464407484</v>
      </c>
      <c r="J11" s="7">
        <f>(G11-F11)/(G11+F11)*100</f>
        <v>-2.212653295586438</v>
      </c>
    </row>
    <row r="12" spans="1:10" x14ac:dyDescent="0.2">
      <c r="A12" t="s">
        <v>143</v>
      </c>
      <c r="B12" s="5">
        <f>SUMIF(districts!A:A,"HI",districts!D:D)</f>
        <v>128844</v>
      </c>
      <c r="C12" s="5">
        <f>SUMIF(districts!A:A,"HI",districts!E:E)</f>
        <v>266891</v>
      </c>
      <c r="D12" s="5">
        <f>SUMIF(districts!A:A,"HI",districts!F:F)</f>
        <v>196861</v>
      </c>
      <c r="E12" s="5">
        <f>SUMIF(districts!A:A,"HI",districts!G:G)</f>
        <v>366128</v>
      </c>
      <c r="F12" s="5">
        <f>SUMIF(districts!A:A,"HI",districts!H:H)</f>
        <v>193661</v>
      </c>
      <c r="G12" s="5">
        <f>SUMIF(districts!A:A,"HI",districts!I:I)</f>
        <v>313044</v>
      </c>
      <c r="H12" s="7">
        <f>(C12-B12)/(C12+B12)*100</f>
        <v>34.883697423781065</v>
      </c>
      <c r="I12" s="7">
        <f>(E12-D12)/(E12+D12)*100</f>
        <v>30.065773931639871</v>
      </c>
      <c r="J12" s="7">
        <f>(G12-F12)/(G12+F12)*100</f>
        <v>23.560651661223002</v>
      </c>
    </row>
    <row r="13" spans="1:10" x14ac:dyDescent="0.2">
      <c r="A13" t="s">
        <v>146</v>
      </c>
      <c r="B13" s="5">
        <f>SUMIF(districts!A:A,"IA",districts!D:D)</f>
        <v>800959</v>
      </c>
      <c r="C13" s="5">
        <f>SUMIF(districts!A:A,"IA",districts!E:E)</f>
        <v>653645</v>
      </c>
      <c r="D13" s="5">
        <f>SUMIF(districts!A:A,"IA",districts!F:F)</f>
        <v>897634</v>
      </c>
      <c r="E13" s="5">
        <f>SUMIF(districts!A:A,"IA",districts!G:G)</f>
        <v>759044</v>
      </c>
      <c r="F13" s="5">
        <f>SUMIF(districts!A:A,"IA",districts!H:H)</f>
        <v>927019</v>
      </c>
      <c r="G13" s="5">
        <f>SUMIF(districts!A:A,"IA",districts!I:I)</f>
        <v>707278</v>
      </c>
      <c r="H13" s="7">
        <f>(C13-B13)/(C13+B13)*100</f>
        <v>-10.127429870947696</v>
      </c>
      <c r="I13" s="7">
        <f>(E13-D13)/(E13+D13)*100</f>
        <v>-8.3655363323470215</v>
      </c>
      <c r="J13" s="7">
        <f>(G13-F13)/(G13+F13)*100</f>
        <v>-13.445597709596235</v>
      </c>
    </row>
    <row r="14" spans="1:10" x14ac:dyDescent="0.2">
      <c r="A14" t="s">
        <v>151</v>
      </c>
      <c r="B14" s="5">
        <f>SUMIF(districts!A:A,"ID",districts!D:D)</f>
        <v>409050</v>
      </c>
      <c r="C14" s="5">
        <f>SUMIF(districts!A:A,"ID",districts!E:E)</f>
        <v>189747</v>
      </c>
      <c r="D14" s="5">
        <f>SUMIF(districts!A:A,"ID",districts!F:F)</f>
        <v>554115</v>
      </c>
      <c r="E14" s="5">
        <f>SUMIF(districts!A:A,"ID",districts!G:G)</f>
        <v>287006</v>
      </c>
      <c r="F14" s="5">
        <f>SUMIF(districts!A:A,"ID",districts!H:H)</f>
        <v>605246</v>
      </c>
      <c r="G14" s="5">
        <f>SUMIF(districts!A:A,"ID",districts!I:I)</f>
        <v>274972</v>
      </c>
      <c r="H14" s="7">
        <f>(C14-B14)/(C14+B14)*100</f>
        <v>-36.623930981618145</v>
      </c>
      <c r="I14" s="7">
        <f>(E14-D14)/(E14+D14)*100</f>
        <v>-31.756310923160875</v>
      </c>
      <c r="J14" s="7">
        <f>(G14-F14)/(G14+F14)*100</f>
        <v>-37.521841180253077</v>
      </c>
    </row>
    <row r="15" spans="1:10" x14ac:dyDescent="0.2">
      <c r="A15" t="s">
        <v>154</v>
      </c>
      <c r="B15" s="5">
        <f>SUMIF(districts!A:A,"IL",districts!D:D)</f>
        <v>2145898</v>
      </c>
      <c r="C15" s="5">
        <f>SUMIF(districts!A:A,"IL",districts!E:E)</f>
        <v>3090546</v>
      </c>
      <c r="D15" s="5">
        <f>SUMIF(districts!A:A,"IL",districts!F:F)</f>
        <v>2446742</v>
      </c>
      <c r="E15" s="5">
        <f>SUMIF(districts!A:A,"IL",districts!G:G)</f>
        <v>3471737</v>
      </c>
      <c r="F15" s="5">
        <f>SUMIF(districts!A:A,"IL",districts!H:H)</f>
        <v>2449080</v>
      </c>
      <c r="G15" s="5">
        <f>SUMIF(districts!A:A,"IL",districts!I:I)</f>
        <v>3062864</v>
      </c>
      <c r="H15" s="7">
        <f>(C15-B15)/(C15+B15)*100</f>
        <v>18.039875915793239</v>
      </c>
      <c r="I15" s="7">
        <f>(E15-D15)/(E15+D15)*100</f>
        <v>17.318554310997808</v>
      </c>
      <c r="J15" s="7">
        <f>(G15-F15)/(G15+F15)*100</f>
        <v>11.135526776034009</v>
      </c>
    </row>
    <row r="16" spans="1:10" x14ac:dyDescent="0.2">
      <c r="A16" t="s">
        <v>172</v>
      </c>
      <c r="B16" s="5">
        <f>SUMIF(districts!A:A,"IN",districts!D:D)</f>
        <v>1556335</v>
      </c>
      <c r="C16" s="5">
        <f>SUMIF(districts!A:A,"IN",districts!E:E)</f>
        <v>1031777</v>
      </c>
      <c r="D16" s="5">
        <f>SUMIF(districts!A:A,"IN",districts!F:F)</f>
        <v>1728953</v>
      </c>
      <c r="E16" s="5">
        <f>SUMIF(districts!A:A,"IN",districts!G:G)</f>
        <v>1241537</v>
      </c>
      <c r="F16" s="5">
        <f>SUMIF(districts!A:A,"IN",districts!H:H)</f>
        <v>1720835</v>
      </c>
      <c r="G16" s="5">
        <f>SUMIF(districts!A:A,"IN",districts!I:I)</f>
        <v>1164352</v>
      </c>
      <c r="H16" s="7">
        <f>(C16-B16)/(C16+B16)*100</f>
        <v>-20.267979129187609</v>
      </c>
      <c r="I16" s="7">
        <f>(E16-D16)/(E16+D16)*100</f>
        <v>-16.408605987564343</v>
      </c>
      <c r="J16" s="7">
        <f>(G16-F16)/(G16+F16)*100</f>
        <v>-19.28758863810214</v>
      </c>
    </row>
    <row r="17" spans="1:10" x14ac:dyDescent="0.2">
      <c r="A17" t="s">
        <v>182</v>
      </c>
      <c r="B17" s="5">
        <f>SUMIF(districts!A:A,"KS",districts!D:D)</f>
        <v>669797</v>
      </c>
      <c r="C17" s="5">
        <f>SUMIF(districts!A:A,"KS",districts!E:E)</f>
        <v>422712</v>
      </c>
      <c r="D17" s="5">
        <f>SUMIF(districts!A:A,"KS",districts!F:F)</f>
        <v>770736</v>
      </c>
      <c r="E17" s="5">
        <f>SUMIF(districts!A:A,"KS",districts!G:G)</f>
        <v>567053</v>
      </c>
      <c r="F17" s="5">
        <f>SUMIF(districts!A:A,"KS",districts!H:H)</f>
        <v>758802</v>
      </c>
      <c r="G17" s="5">
        <f>SUMIF(districts!A:A,"KS",districts!I:I)</f>
        <v>544853</v>
      </c>
      <c r="H17" s="7">
        <f>(C17-B17)/(C17+B17)*100</f>
        <v>-22.616289659856349</v>
      </c>
      <c r="I17" s="7">
        <f>(E17-D17)/(E17+D17)*100</f>
        <v>-15.22534570100367</v>
      </c>
      <c r="J17" s="7">
        <f>(G17-F17)/(G17+F17)*100</f>
        <v>-16.411473894550323</v>
      </c>
    </row>
    <row r="18" spans="1:10" x14ac:dyDescent="0.2">
      <c r="A18" t="s">
        <v>187</v>
      </c>
      <c r="B18" s="5">
        <f>SUMIF(districts!A:A,"KY",districts!D:D)</f>
        <v>1202625</v>
      </c>
      <c r="C18" s="5">
        <f>SUMIF(districts!A:A,"KY",districts!E:E)</f>
        <v>627663</v>
      </c>
      <c r="D18" s="5">
        <f>SUMIF(districts!A:A,"KY",districts!F:F)</f>
        <v>1326283</v>
      </c>
      <c r="E18" s="5">
        <f>SUMIF(districts!A:A,"KY",districts!G:G)</f>
        <v>771597</v>
      </c>
      <c r="F18" s="5">
        <f>SUMIF(districts!A:A,"KY",districts!H:H)</f>
        <v>1337494</v>
      </c>
      <c r="G18" s="5">
        <f>SUMIF(districts!A:A,"KY",districts!I:I)</f>
        <v>704043</v>
      </c>
      <c r="H18" s="7">
        <f>(C18-B18)/(C18+B18)*100</f>
        <v>-31.413744722142091</v>
      </c>
      <c r="I18" s="7">
        <f>(E18-D18)/(E18+D18)*100</f>
        <v>-26.440311171277671</v>
      </c>
      <c r="J18" s="7">
        <f>(G18-F18)/(G18+F18)*100</f>
        <v>-31.028142032204169</v>
      </c>
    </row>
    <row r="19" spans="1:10" x14ac:dyDescent="0.2">
      <c r="A19" t="s">
        <v>194</v>
      </c>
      <c r="B19" s="5">
        <f>SUMIF(districts!A:A,"LA",districts!D:D)</f>
        <v>1177552</v>
      </c>
      <c r="C19" s="5">
        <f>SUMIF(districts!A:A,"LA",districts!E:E)</f>
        <v>779211</v>
      </c>
      <c r="D19" s="5">
        <f>SUMIF(districts!A:A,"LA",districts!F:F)</f>
        <v>1254849</v>
      </c>
      <c r="E19" s="5">
        <f>SUMIF(districts!A:A,"LA",districts!G:G)</f>
        <v>855090</v>
      </c>
      <c r="F19" s="5">
        <f>SUMIF(districts!A:A,"LA",districts!H:H)</f>
        <v>1208352</v>
      </c>
      <c r="G19" s="5">
        <f>SUMIF(districts!A:A,"LA",districts!I:I)</f>
        <v>766981</v>
      </c>
      <c r="H19" s="7">
        <f>(C19-B19)/(C19+B19)*100</f>
        <v>-20.35714084945392</v>
      </c>
      <c r="I19" s="7">
        <f>(E19-D19)/(E19+D19)*100</f>
        <v>-18.946471912221156</v>
      </c>
      <c r="J19" s="7">
        <f>(G19-F19)/(G19+F19)*100</f>
        <v>-22.344131343930364</v>
      </c>
    </row>
    <row r="20" spans="1:10" x14ac:dyDescent="0.2">
      <c r="A20" t="s">
        <v>201</v>
      </c>
      <c r="B20" s="5">
        <f>SUMIF(districts!A:A,"MA",districts!D:D)</f>
        <v>1090757</v>
      </c>
      <c r="C20" s="5">
        <f>SUMIF(districts!A:A,"MA",districts!E:E)</f>
        <v>1995046</v>
      </c>
      <c r="D20" s="5">
        <f>SUMIF(districts!A:A,"MA",districts!F:F)</f>
        <v>1167119</v>
      </c>
      <c r="E20" s="5">
        <f>SUMIF(districts!A:A,"MA",districts!G:G)</f>
        <v>2382039</v>
      </c>
      <c r="F20" s="5">
        <f>SUMIF(districts!A:A,"MA",districts!H:H)</f>
        <v>1251303</v>
      </c>
      <c r="G20" s="5">
        <f>SUMIF(districts!A:A,"MA",districts!I:I)</f>
        <v>2126518</v>
      </c>
      <c r="H20" s="7">
        <f>(C20-B20)/(C20+B20)*100</f>
        <v>29.304819523475739</v>
      </c>
      <c r="I20" s="7">
        <f>(E20-D20)/(E20+D20)*100</f>
        <v>34.231217657821936</v>
      </c>
      <c r="J20" s="7">
        <f>(G20-F20)/(G20+F20)*100</f>
        <v>25.910638840838519</v>
      </c>
    </row>
    <row r="21" spans="1:10" x14ac:dyDescent="0.2">
      <c r="A21" t="s">
        <v>211</v>
      </c>
      <c r="B21" s="5">
        <f>SUMIF(districts!A:A,"MD",districts!D:D)</f>
        <v>942521</v>
      </c>
      <c r="C21" s="5">
        <f>SUMIF(districts!A:A,"MD",districts!E:E)</f>
        <v>1677891</v>
      </c>
      <c r="D21" s="5">
        <f>SUMIF(districts!A:A,"MD",districts!F:F)</f>
        <v>976141</v>
      </c>
      <c r="E21" s="5">
        <f>SUMIF(districts!A:A,"MD",districts!G:G)</f>
        <v>1984872</v>
      </c>
      <c r="F21" s="5">
        <f>SUMIF(districts!A:A,"MD",districts!H:H)</f>
        <v>1035550</v>
      </c>
      <c r="G21" s="5">
        <f>SUMIF(districts!A:A,"MD",districts!I:I)</f>
        <v>1902577</v>
      </c>
      <c r="H21" s="7">
        <f>(C21-B21)/(C21+B21)*100</f>
        <v>28.063144268916488</v>
      </c>
      <c r="I21" s="7">
        <f>(E21-D21)/(E21+D21)*100</f>
        <v>34.067091228576167</v>
      </c>
      <c r="J21" s="7">
        <f>(G21-F21)/(G21+F21)*100</f>
        <v>29.509514054361848</v>
      </c>
    </row>
    <row r="22" spans="1:10" x14ac:dyDescent="0.2">
      <c r="A22" t="s">
        <v>220</v>
      </c>
      <c r="B22" s="5">
        <f>SUMIF(districts!A:A,"ME",districts!D:D)</f>
        <v>334786</v>
      </c>
      <c r="C22" s="5">
        <f>SUMIF(districts!A:A,"ME",districts!E:E)</f>
        <v>354656</v>
      </c>
      <c r="D22" s="5">
        <f>SUMIF(districts!A:A,"ME",districts!F:F)</f>
        <v>360763</v>
      </c>
      <c r="E22" s="5">
        <f>SUMIF(districts!A:A,"ME",districts!G:G)</f>
        <v>435067</v>
      </c>
      <c r="F22" s="5">
        <f>SUMIF(districts!A:A,"ME",districts!H:H)</f>
        <v>377977</v>
      </c>
      <c r="G22" s="5">
        <f>SUMIF(districts!A:A,"ME",districts!I:I)</f>
        <v>435652</v>
      </c>
      <c r="H22" s="7">
        <f>(C22-B22)/(C22+B22)*100</f>
        <v>2.8820408388232801</v>
      </c>
      <c r="I22" s="7">
        <f>(E22-D22)/(E22+D22)*100</f>
        <v>9.3366673787115335</v>
      </c>
      <c r="J22" s="7">
        <f>(G22-F22)/(G22+F22)*100</f>
        <v>7.0886116399489207</v>
      </c>
    </row>
    <row r="23" spans="1:10" x14ac:dyDescent="0.2">
      <c r="A23" t="s">
        <v>223</v>
      </c>
      <c r="B23" s="5">
        <f>SUMIF(districts!A:A,"MI",districts!D:D)</f>
        <v>2277860</v>
      </c>
      <c r="C23" s="5">
        <f>SUMIF(districts!A:A,"MI",districts!E:E)</f>
        <v>2267491</v>
      </c>
      <c r="D23" s="5">
        <f>SUMIF(districts!A:A,"MI",districts!F:F)</f>
        <v>2649832</v>
      </c>
      <c r="E23" s="5">
        <f>SUMIF(districts!A:A,"MI",districts!G:G)</f>
        <v>2803955</v>
      </c>
      <c r="F23" s="5">
        <f>SUMIF(districts!A:A,"MI",districts!H:H)</f>
        <v>2813835</v>
      </c>
      <c r="G23" s="5">
        <f>SUMIF(districts!A:A,"MI",districts!I:I)</f>
        <v>2735334</v>
      </c>
      <c r="H23" s="7">
        <f>(C23-B23)/(C23+B23)*100</f>
        <v>-0.22812319664641958</v>
      </c>
      <c r="I23" s="7">
        <f>(E23-D23)/(E23+D23)*100</f>
        <v>2.8259812860311562</v>
      </c>
      <c r="J23" s="7">
        <f>(G23-F23)/(G23+F23)*100</f>
        <v>-1.4146442467331595</v>
      </c>
    </row>
    <row r="24" spans="1:10" x14ac:dyDescent="0.2">
      <c r="A24" t="s">
        <v>237</v>
      </c>
      <c r="B24" s="5">
        <f>SUMIF(districts!A:A,"MN",districts!D:D)</f>
        <v>1320982</v>
      </c>
      <c r="C24" s="5">
        <f>SUMIF(districts!A:A,"MN",districts!E:E)</f>
        <v>1363708</v>
      </c>
      <c r="D24" s="5">
        <f>SUMIF(districts!A:A,"MN",districts!F:F)</f>
        <v>1484030</v>
      </c>
      <c r="E24" s="5">
        <f>SUMIF(districts!A:A,"MN",districts!G:G)</f>
        <v>1717051</v>
      </c>
      <c r="F24" s="5">
        <f>SUMIF(districts!A:A,"MN",districts!H:H)</f>
        <v>1519032</v>
      </c>
      <c r="G24" s="5">
        <f>SUMIF(districts!A:A,"MN",districts!I:I)</f>
        <v>1656979</v>
      </c>
      <c r="H24" s="7">
        <f>(C24-B24)/(C24+B24)*100</f>
        <v>1.5914686611862077</v>
      </c>
      <c r="I24" s="7">
        <f>(E24-D24)/(E24+D24)*100</f>
        <v>7.2794471617556695</v>
      </c>
      <c r="J24" s="7">
        <f>(G24-F24)/(G24+F24)*100</f>
        <v>4.3434043521889567</v>
      </c>
    </row>
    <row r="25" spans="1:10" x14ac:dyDescent="0.2">
      <c r="A25" t="s">
        <v>246</v>
      </c>
      <c r="B25" s="5">
        <f>SUMIF(districts!A:A,"MO",districts!D:D)</f>
        <v>1594462</v>
      </c>
      <c r="C25" s="5">
        <f>SUMIF(districts!A:A,"MO",districts!E:E)</f>
        <v>1070919</v>
      </c>
      <c r="D25" s="5">
        <f>SUMIF(districts!A:A,"MO",districts!F:F)</f>
        <v>1718717</v>
      </c>
      <c r="E25" s="5">
        <f>SUMIF(districts!A:A,"MO",districts!G:G)</f>
        <v>1252968</v>
      </c>
      <c r="F25" s="5">
        <f>SUMIF(districts!A:A,"MO",districts!H:H)</f>
        <v>1751986</v>
      </c>
      <c r="G25" s="5">
        <f>SUMIF(districts!A:A,"MO",districts!I:I)</f>
        <v>1200599</v>
      </c>
      <c r="H25" s="7">
        <f>(C25-B25)/(C25+B25)*100</f>
        <v>-19.642332559585292</v>
      </c>
      <c r="I25" s="7">
        <f>(E25-D25)/(E25+D25)*100</f>
        <v>-15.67289265181202</v>
      </c>
      <c r="J25" s="7">
        <f>(G25-F25)/(G25+F25)*100</f>
        <v>-18.674720626163175</v>
      </c>
    </row>
    <row r="26" spans="1:10" x14ac:dyDescent="0.2">
      <c r="A26" t="s">
        <v>255</v>
      </c>
      <c r="B26" s="5">
        <f>SUMIF(districts!A:A,"MS",districts!D:D)</f>
        <v>700688</v>
      </c>
      <c r="C26" s="5">
        <f>SUMIF(districts!A:A,"MS",districts!E:E)</f>
        <v>485107</v>
      </c>
      <c r="D26" s="5">
        <f>SUMIF(districts!A:A,"MS",districts!F:F)</f>
        <v>756747</v>
      </c>
      <c r="E26" s="5">
        <f>SUMIF(districts!A:A,"MS",districts!G:G)</f>
        <v>539373</v>
      </c>
      <c r="F26" s="5">
        <f>SUMIF(districts!A:A,"MS",districts!H:H)</f>
        <v>747744</v>
      </c>
      <c r="G26" s="5">
        <f>SUMIF(districts!A:A,"MS",districts!I:I)</f>
        <v>466667</v>
      </c>
      <c r="H26" s="7">
        <f>(C26-B26)/(C26+B26)*100</f>
        <v>-18.18029254635076</v>
      </c>
      <c r="I26" s="7">
        <f>(E26-D26)/(E26+D26)*100</f>
        <v>-16.771132302564578</v>
      </c>
      <c r="J26" s="7">
        <f>(G26-F26)/(G26+F26)*100</f>
        <v>-23.145129614273916</v>
      </c>
    </row>
    <row r="27" spans="1:10" x14ac:dyDescent="0.2">
      <c r="A27" t="s">
        <v>260</v>
      </c>
      <c r="B27" s="5">
        <f>SUMIF(districts!A:A,"MT",districts!D:D)</f>
        <v>278872</v>
      </c>
      <c r="C27" s="5">
        <f>SUMIF(districts!A:A,"MT",districts!E:E)</f>
        <v>176795</v>
      </c>
      <c r="D27" s="5">
        <f>SUMIF(districts!A:A,"MT",districts!F:F)</f>
        <v>343292</v>
      </c>
      <c r="E27" s="5">
        <f>SUMIF(districts!A:A,"MT",districts!G:G)</f>
        <v>244041</v>
      </c>
      <c r="F27" s="5">
        <f>SUMIF(districts!A:A,"MT",districts!H:H)</f>
        <v>352079</v>
      </c>
      <c r="G27" s="5">
        <f>SUMIF(districts!A:A,"MT",districts!I:I)</f>
        <v>231906</v>
      </c>
      <c r="H27" s="7">
        <f>(C27-B27)/(C27+B27)*100</f>
        <v>-22.401666128993323</v>
      </c>
      <c r="I27" s="7">
        <f>(E27-D27)/(E27+D27)*100</f>
        <v>-16.898590748348894</v>
      </c>
      <c r="J27" s="7">
        <f>(G27-F27)/(G27+F27)*100</f>
        <v>-20.578097040163705</v>
      </c>
    </row>
    <row r="28" spans="1:10" x14ac:dyDescent="0.2">
      <c r="A28" t="s">
        <v>263</v>
      </c>
      <c r="B28" s="5">
        <f>SUMIF(districts!A:A,"NC",districts!D:D)</f>
        <v>2362631</v>
      </c>
      <c r="C28" s="5">
        <f>SUMIF(districts!A:A,"NC",districts!E:E)</f>
        <v>2189316</v>
      </c>
      <c r="D28" s="5">
        <f>SUMIF(districts!A:A,"NC",districts!F:F)</f>
        <v>2758775</v>
      </c>
      <c r="E28" s="5">
        <f>SUMIF(districts!A:A,"NC",districts!G:G)</f>
        <v>2684292</v>
      </c>
      <c r="F28" s="5">
        <f>SUMIF(districts!A:A,"NC",districts!H:H)</f>
        <v>2896941</v>
      </c>
      <c r="G28" s="5">
        <f>SUMIF(districts!A:A,"NC",districts!I:I)</f>
        <v>2713609</v>
      </c>
      <c r="H28" s="7">
        <f>(C28-B28)/(C28+B28)*100</f>
        <v>-3.8074916074374325</v>
      </c>
      <c r="I28" s="7">
        <f>(E28-D28)/(E28+D28)*100</f>
        <v>-1.3684013075716319</v>
      </c>
      <c r="J28" s="7">
        <f>(G28-F28)/(G28+F28)*100</f>
        <v>-3.2676297332703568</v>
      </c>
    </row>
    <row r="29" spans="1:10" x14ac:dyDescent="0.2">
      <c r="A29" t="s">
        <v>278</v>
      </c>
      <c r="B29" s="5">
        <f>SUMIF(districts!A:A,"ND",districts!D:D)</f>
        <v>216794</v>
      </c>
      <c r="C29" s="5">
        <f>SUMIF(districts!A:A,"ND",districts!E:E)</f>
        <v>93758</v>
      </c>
      <c r="D29" s="5">
        <f>SUMIF(districts!A:A,"ND",districts!F:F)</f>
        <v>235595</v>
      </c>
      <c r="E29" s="5">
        <f>SUMIF(districts!A:A,"ND",districts!G:G)</f>
        <v>114902</v>
      </c>
      <c r="F29" s="5">
        <f>SUMIF(districts!A:A,"ND",districts!H:H)</f>
        <v>246505</v>
      </c>
      <c r="G29" s="5">
        <f>SUMIF(districts!A:A,"ND",districts!I:I)</f>
        <v>112327</v>
      </c>
      <c r="H29" s="7">
        <f>(C29-B29)/(C29+B29)*100</f>
        <v>-39.61848579303949</v>
      </c>
      <c r="I29" s="7">
        <f>(E29-D29)/(E29+D29)*100</f>
        <v>-34.434816845793257</v>
      </c>
      <c r="J29" s="7">
        <f>(G29-F29)/(G29+F29)*100</f>
        <v>-37.392986132786369</v>
      </c>
    </row>
    <row r="30" spans="1:10" x14ac:dyDescent="0.2">
      <c r="A30" t="s">
        <v>280</v>
      </c>
      <c r="B30" s="5">
        <f>SUMIF(districts!A:A,"NE",districts!D:D)</f>
        <v>495938</v>
      </c>
      <c r="C30" s="5">
        <f>SUMIF(districts!A:A,"NE",districts!E:E)</f>
        <v>284466</v>
      </c>
      <c r="D30" s="5">
        <f>SUMIF(districts!A:A,"NE",districts!F:F)</f>
        <v>556850</v>
      </c>
      <c r="E30" s="5">
        <f>SUMIF(districts!A:A,"NE",districts!G:G)</f>
        <v>374543</v>
      </c>
      <c r="F30" s="5">
        <f>SUMIF(districts!A:A,"NE",districts!H:H)</f>
        <v>564816</v>
      </c>
      <c r="G30" s="5">
        <f>SUMIF(districts!A:A,"NE",districts!I:I)</f>
        <v>369995</v>
      </c>
      <c r="H30" s="7">
        <f>(C30-B30)/(C30+B30)*100</f>
        <v>-27.097759621939403</v>
      </c>
      <c r="I30" s="7">
        <f>(E30-D30)/(E30+D30)*100</f>
        <v>-19.573584942124324</v>
      </c>
      <c r="J30" s="7">
        <f>(G30-F30)/(G30+F30)*100</f>
        <v>-20.840683303897794</v>
      </c>
    </row>
    <row r="31" spans="1:10" x14ac:dyDescent="0.2">
      <c r="A31" t="s">
        <v>284</v>
      </c>
      <c r="B31" s="5">
        <f>SUMIF(districts!A:A,"NH",districts!D:D)</f>
        <v>345791</v>
      </c>
      <c r="C31" s="5">
        <f>SUMIF(districts!A:A,"NH",districts!E:E)</f>
        <v>348522</v>
      </c>
      <c r="D31" s="5">
        <f>SUMIF(districts!A:A,"NH",districts!F:F)</f>
        <v>365659</v>
      </c>
      <c r="E31" s="5">
        <f>SUMIF(districts!A:A,"NH",districts!G:G)</f>
        <v>424930</v>
      </c>
      <c r="F31" s="5">
        <f>SUMIF(districts!A:A,"NH",districts!H:H)</f>
        <v>395523</v>
      </c>
      <c r="G31" s="5">
        <f>SUMIF(districts!A:A,"NH",districts!I:I)</f>
        <v>418488</v>
      </c>
      <c r="H31" s="7">
        <f>(C31-B31)/(C31+B31)*100</f>
        <v>0.39333845110202459</v>
      </c>
      <c r="I31" s="7">
        <f>(E31-D31)/(E31+D31)*100</f>
        <v>7.4970686412282497</v>
      </c>
      <c r="J31" s="7">
        <f>(G31-F31)/(G31+F31)*100</f>
        <v>2.821214946726764</v>
      </c>
    </row>
    <row r="32" spans="1:10" x14ac:dyDescent="0.2">
      <c r="A32" t="s">
        <v>287</v>
      </c>
      <c r="B32" s="5">
        <f>SUMIF(districts!A:A,"NJ",districts!D:D)</f>
        <v>1601929</v>
      </c>
      <c r="C32" s="5">
        <f>SUMIF(districts!A:A,"NJ",districts!E:E)</f>
        <v>2148276</v>
      </c>
      <c r="D32" s="5">
        <f>SUMIF(districts!A:A,"NJ",districts!F:F)</f>
        <v>1883272</v>
      </c>
      <c r="E32" s="5">
        <f>SUMIF(districts!A:A,"NJ",districts!G:G)</f>
        <v>2608333</v>
      </c>
      <c r="F32" s="5">
        <f>SUMIF(districts!A:A,"NJ",districts!H:H)</f>
        <v>1968216</v>
      </c>
      <c r="G32" s="5">
        <f>SUMIF(districts!A:A,"NJ",districts!I:I)</f>
        <v>2220712</v>
      </c>
      <c r="H32" s="7">
        <f>(C32-B32)/(C32+B32)*100</f>
        <v>14.568456924354804</v>
      </c>
      <c r="I32" s="7">
        <f>(E32-D32)/(E32+D32)*100</f>
        <v>16.142581549357079</v>
      </c>
      <c r="J32" s="7">
        <f>(G32-F32)/(G32+F32)*100</f>
        <v>6.0276996883212126</v>
      </c>
    </row>
    <row r="33" spans="1:10" x14ac:dyDescent="0.2">
      <c r="A33" t="s">
        <v>300</v>
      </c>
      <c r="B33" s="5">
        <f>SUMIF(districts!A:A,"NM",districts!D:D)</f>
        <v>319103</v>
      </c>
      <c r="C33" s="5">
        <f>SUMIF(districts!A:A,"NM",districts!E:E)</f>
        <v>384548</v>
      </c>
      <c r="D33" s="5">
        <f>SUMIF(districts!A:A,"NM",districts!F:F)</f>
        <v>401732</v>
      </c>
      <c r="E33" s="5">
        <f>SUMIF(districts!A:A,"NM",districts!G:G)</f>
        <v>501056</v>
      </c>
      <c r="F33" s="5">
        <f>SUMIF(districts!A:A,"NM",districts!H:H)</f>
        <v>422180</v>
      </c>
      <c r="G33" s="5">
        <f>SUMIF(districts!A:A,"NM",districts!I:I)</f>
        <v>476068</v>
      </c>
      <c r="H33" s="7">
        <f>(C33-B33)/(C33+B33)*100</f>
        <v>9.3007755265039052</v>
      </c>
      <c r="I33" s="7">
        <f>(E33-D33)/(E33+D33)*100</f>
        <v>11.001918501353584</v>
      </c>
      <c r="J33" s="7">
        <f>(G33-F33)/(G33+F33)*100</f>
        <v>5.9992340645345159</v>
      </c>
    </row>
    <row r="34" spans="1:10" x14ac:dyDescent="0.2">
      <c r="A34" t="s">
        <v>304</v>
      </c>
      <c r="B34" s="5">
        <f>SUMIF(districts!A:A,"NV",districts!D:D)</f>
        <v>511953</v>
      </c>
      <c r="C34" s="5">
        <f>SUMIF(districts!A:A,"NV",districts!E:E)</f>
        <v>539014</v>
      </c>
      <c r="D34" s="5">
        <f>SUMIF(districts!A:A,"NV",districts!F:F)</f>
        <v>669758</v>
      </c>
      <c r="E34" s="5">
        <f>SUMIF(districts!A:A,"NV",districts!G:G)</f>
        <v>703174</v>
      </c>
      <c r="F34" s="5">
        <f>SUMIF(districts!A:A,"NV",districts!H:H)</f>
        <v>751205</v>
      </c>
      <c r="G34" s="5">
        <f>SUMIF(districts!A:A,"NV",districts!I:I)</f>
        <v>705197</v>
      </c>
      <c r="H34" s="7">
        <f>(C34-B34)/(C34+B34)*100</f>
        <v>2.5748667655597179</v>
      </c>
      <c r="I34" s="7">
        <f>(E34-D34)/(E34+D34)*100</f>
        <v>2.4339151538459296</v>
      </c>
      <c r="J34" s="7">
        <f>(G34-F34)/(G34+F34)*100</f>
        <v>-3.1590179085170167</v>
      </c>
    </row>
    <row r="35" spans="1:10" x14ac:dyDescent="0.2">
      <c r="A35" t="s">
        <v>309</v>
      </c>
      <c r="B35" s="5">
        <f>SUMIF(districts!A:A,"NY",districts!D:D)</f>
        <v>2819552</v>
      </c>
      <c r="C35" s="5">
        <f>SUMIF(districts!A:A,"NY",districts!E:E)</f>
        <v>4556131</v>
      </c>
      <c r="D35" s="5">
        <f>SUMIF(districts!A:A,"NY",districts!F:F)</f>
        <v>3251997</v>
      </c>
      <c r="E35" s="5">
        <f>SUMIF(districts!A:A,"NY",districts!G:G)</f>
        <v>5244886</v>
      </c>
      <c r="F35" s="5">
        <f>SUMIF(districts!A:A,"NY",districts!H:H)</f>
        <v>3579176</v>
      </c>
      <c r="G35" s="5">
        <f>SUMIF(districts!A:A,"NY",districts!I:I)</f>
        <v>4619189</v>
      </c>
      <c r="H35" s="7">
        <f>(C35-B35)/(C35+B35)*100</f>
        <v>23.544653423960874</v>
      </c>
      <c r="I35" s="7">
        <f>(E35-D35)/(E35+D35)*100</f>
        <v>23.454353790678301</v>
      </c>
      <c r="J35" s="7">
        <f>(G35-F35)/(G35+F35)*100</f>
        <v>12.685614753673446</v>
      </c>
    </row>
    <row r="36" spans="1:10" x14ac:dyDescent="0.2">
      <c r="A36" t="s">
        <v>336</v>
      </c>
      <c r="B36" s="5">
        <f>SUMIF(districts!A:A,"OH",districts!D:D)</f>
        <v>2841005</v>
      </c>
      <c r="C36" s="5">
        <f>SUMIF(districts!A:A,"OH",districts!E:E)</f>
        <v>2394164</v>
      </c>
      <c r="D36" s="5">
        <f>SUMIF(districts!A:A,"OH",districts!F:F)</f>
        <v>3154834</v>
      </c>
      <c r="E36" s="5">
        <f>SUMIF(districts!A:A,"OH",districts!G:G)</f>
        <v>2679165</v>
      </c>
      <c r="F36" s="5">
        <f>SUMIF(districts!A:A,"OH",districts!H:H)</f>
        <v>3180116</v>
      </c>
      <c r="G36" s="5">
        <f>SUMIF(districts!A:A,"OH",districts!I:I)</f>
        <v>2533699</v>
      </c>
      <c r="H36" s="7">
        <f>(C36-B36)/(C36+B36)*100</f>
        <v>-8.5353691542718106</v>
      </c>
      <c r="I36" s="7">
        <f>(E36-D36)/(E36+D36)*100</f>
        <v>-8.1533952954054332</v>
      </c>
      <c r="J36" s="7">
        <f>(G36-F36)/(G36+F36)*100</f>
        <v>-11.313229427274072</v>
      </c>
    </row>
    <row r="37" spans="1:10" x14ac:dyDescent="0.2">
      <c r="A37" t="s">
        <v>352</v>
      </c>
      <c r="B37" s="5">
        <f>SUMIF(districts!A:A,"OK",districts!D:D)</f>
        <v>949126</v>
      </c>
      <c r="C37" s="5">
        <f>SUMIF(districts!A:A,"OK",districts!E:E)</f>
        <v>420229</v>
      </c>
      <c r="D37" s="5">
        <f>SUMIF(districts!A:A,"OK",districts!F:F)</f>
        <v>1020270</v>
      </c>
      <c r="E37" s="5">
        <f>SUMIF(districts!A:A,"OK",districts!G:G)</f>
        <v>503792</v>
      </c>
      <c r="F37" s="5">
        <f>SUMIF(districts!A:A,"OK",districts!H:H)</f>
        <v>1036214</v>
      </c>
      <c r="G37" s="5">
        <f>SUMIF(districts!A:A,"OK",districts!I:I)</f>
        <v>499599</v>
      </c>
      <c r="H37" s="7">
        <f>(C37-B37)/(C37+B37)*100</f>
        <v>-38.623804637949981</v>
      </c>
      <c r="I37" s="7">
        <f>(E37-D37)/(E37+D37)*100</f>
        <v>-33.888253889933608</v>
      </c>
      <c r="J37" s="7">
        <f>(G37-F37)/(G37+F37)*100</f>
        <v>-34.940126174215216</v>
      </c>
    </row>
    <row r="38" spans="1:10" x14ac:dyDescent="0.2">
      <c r="A38" t="s">
        <v>358</v>
      </c>
      <c r="B38" s="5">
        <f>SUMIF(districts!A:A,"OR",districts!D:D)</f>
        <v>782318</v>
      </c>
      <c r="C38" s="5">
        <f>SUMIF(districts!A:A,"OR",districts!E:E)</f>
        <v>1002075</v>
      </c>
      <c r="D38" s="5">
        <f>SUMIF(districts!A:A,"OR",districts!F:F)</f>
        <v>958347</v>
      </c>
      <c r="E38" s="5">
        <f>SUMIF(districts!A:A,"OR",districts!G:G)</f>
        <v>1340336</v>
      </c>
      <c r="F38" s="5">
        <f>SUMIF(districts!A:A,"OR",districts!H:H)</f>
        <v>919585</v>
      </c>
      <c r="G38" s="5">
        <f>SUMIF(districts!A:A,"OR",districts!I:I)</f>
        <v>1241387</v>
      </c>
      <c r="H38" s="7">
        <f>(C38-B38)/(C38+B38)*100</f>
        <v>12.315504488080821</v>
      </c>
      <c r="I38" s="7">
        <f>(E38-D38)/(E38+D38)*100</f>
        <v>16.617732849636074</v>
      </c>
      <c r="J38" s="7">
        <f>(G38-F38)/(G38+F38)*100</f>
        <v>14.891539547944166</v>
      </c>
    </row>
    <row r="39" spans="1:10" x14ac:dyDescent="0.2">
      <c r="A39" t="s">
        <v>365</v>
      </c>
      <c r="B39" s="5">
        <f>SUMIF(districts!A:A,"PA",districts!D:D)</f>
        <v>2970832</v>
      </c>
      <c r="C39" s="5">
        <f>SUMIF(districts!A:A,"PA",districts!E:E)</f>
        <v>2926339</v>
      </c>
      <c r="D39" s="5">
        <f>SUMIF(districts!A:A,"PA",districts!F:F)</f>
        <v>3378037</v>
      </c>
      <c r="E39" s="5">
        <f>SUMIF(districts!A:A,"PA",districts!G:G)</f>
        <v>3460347</v>
      </c>
      <c r="F39" s="5">
        <f>SUMIF(districts!A:A,"PA",districts!H:H)</f>
        <v>3543308</v>
      </c>
      <c r="G39" s="5">
        <f>SUMIF(districts!A:A,"PA",districts!I:I)</f>
        <v>3423042</v>
      </c>
      <c r="H39" s="7">
        <f>(C39-B39)/(C39+B39)*100</f>
        <v>-0.75448041103098418</v>
      </c>
      <c r="I39" s="7">
        <f>(E39-D39)/(E39+D39)*100</f>
        <v>1.2036469434884032</v>
      </c>
      <c r="J39" s="7">
        <f>(G39-F39)/(G39+F39)*100</f>
        <v>-1.7263846921271542</v>
      </c>
    </row>
    <row r="40" spans="1:10" x14ac:dyDescent="0.2">
      <c r="A40" t="s">
        <v>383</v>
      </c>
      <c r="B40" s="5">
        <f>SUMIF(districts!A:A,"RI",districts!D:D)</f>
        <v>180515</v>
      </c>
      <c r="C40" s="5">
        <f>SUMIF(districts!A:A,"RI",districts!E:E)</f>
        <v>252515</v>
      </c>
      <c r="D40" s="5">
        <f>SUMIF(districts!A:A,"RI",districts!F:F)</f>
        <v>199897</v>
      </c>
      <c r="E40" s="5">
        <f>SUMIF(districts!A:A,"RI",districts!G:G)</f>
        <v>307507</v>
      </c>
      <c r="F40" s="5">
        <f>SUMIF(districts!A:A,"RI",districts!H:H)</f>
        <v>214406</v>
      </c>
      <c r="G40" s="5">
        <f>SUMIF(districts!A:A,"RI",districts!I:I)</f>
        <v>285156</v>
      </c>
      <c r="H40" s="7">
        <f>(C40-B40)/(C40+B40)*100</f>
        <v>16.627023531856917</v>
      </c>
      <c r="I40" s="7">
        <f>(E40-D40)/(E40+D40)*100</f>
        <v>21.207952637346178</v>
      </c>
      <c r="J40" s="7">
        <f>(G40-F40)/(G40+F40)*100</f>
        <v>14.162406267890674</v>
      </c>
    </row>
    <row r="41" spans="1:10" x14ac:dyDescent="0.2">
      <c r="A41" t="s">
        <v>386</v>
      </c>
      <c r="B41" s="5">
        <f>SUMIF(districts!A:A,"SC",districts!D:D)</f>
        <v>1155376</v>
      </c>
      <c r="C41" s="5">
        <f>SUMIF(districts!A:A,"SC",districts!E:E)</f>
        <v>855368</v>
      </c>
      <c r="D41" s="5">
        <f>SUMIF(districts!A:A,"SC",districts!F:F)</f>
        <v>1385090</v>
      </c>
      <c r="E41" s="5">
        <f>SUMIF(districts!A:A,"SC",districts!G:G)</f>
        <v>1091533</v>
      </c>
      <c r="F41" s="5">
        <f>SUMIF(districts!A:A,"SC",districts!H:H)</f>
        <v>1483747</v>
      </c>
      <c r="G41" s="5">
        <f>SUMIF(districts!A:A,"SC",districts!I:I)</f>
        <v>1028452</v>
      </c>
      <c r="H41" s="7">
        <f>(C41-B41)/(C41+B41)*100</f>
        <v>-14.920248425458437</v>
      </c>
      <c r="I41" s="7">
        <f>(E41-D41)/(E41+D41)*100</f>
        <v>-11.853116118198047</v>
      </c>
      <c r="J41" s="7">
        <f>(G41-F41)/(G41+F41)*100</f>
        <v>-18.123365227038143</v>
      </c>
    </row>
    <row r="42" spans="1:10" x14ac:dyDescent="0.2">
      <c r="A42" t="s">
        <v>394</v>
      </c>
      <c r="B42" s="5">
        <f>SUMIF(districts!A:A,"SD",districts!D:D)</f>
        <v>227721</v>
      </c>
      <c r="C42" s="5">
        <f>SUMIF(districts!A:A,"SD",districts!E:E)</f>
        <v>117458</v>
      </c>
      <c r="D42" s="5">
        <f>SUMIF(districts!A:A,"SD",districts!F:F)</f>
        <v>261043</v>
      </c>
      <c r="E42" s="5">
        <f>SUMIF(districts!A:A,"SD",districts!G:G)</f>
        <v>150471</v>
      </c>
      <c r="F42" s="5">
        <f>SUMIF(districts!A:A,"SD",districts!H:H)</f>
        <v>272081</v>
      </c>
      <c r="G42" s="5">
        <f>SUMIF(districts!A:A,"SD",districts!I:I)</f>
        <v>146859</v>
      </c>
      <c r="H42" s="7">
        <f>(C42-B42)/(C42+B42)*100</f>
        <v>-31.9437161588625</v>
      </c>
      <c r="I42" s="7">
        <f>(E42-D42)/(E42+D42)*100</f>
        <v>-26.869559723362997</v>
      </c>
      <c r="J42" s="7">
        <f>(G42-F42)/(G42+F42)*100</f>
        <v>-29.890199073853058</v>
      </c>
    </row>
    <row r="43" spans="1:10" x14ac:dyDescent="0.2">
      <c r="A43" t="s">
        <v>396</v>
      </c>
      <c r="B43" s="5">
        <f>SUMIF(districts!A:A,"TN",districts!D:D)</f>
        <v>1522395</v>
      </c>
      <c r="C43" s="5">
        <f>SUMIF(districts!A:A,"TN",districts!E:E)</f>
        <v>869054</v>
      </c>
      <c r="D43" s="5">
        <f>SUMIF(districts!A:A,"TN",districts!F:F)</f>
        <v>1851906</v>
      </c>
      <c r="E43" s="5">
        <f>SUMIF(districts!A:A,"TN",districts!G:G)</f>
        <v>1142298</v>
      </c>
      <c r="F43" s="5">
        <f>SUMIF(districts!A:A,"TN",districts!H:H)</f>
        <v>1966865</v>
      </c>
      <c r="G43" s="5">
        <f>SUMIF(districts!A:A,"TN",districts!I:I)</f>
        <v>1056266</v>
      </c>
      <c r="H43" s="7">
        <f>(C43-B43)/(C43+B43)*100</f>
        <v>-27.319880122887842</v>
      </c>
      <c r="I43" s="7">
        <f>(E43-D43)/(E43+D43)*100</f>
        <v>-23.69938721610151</v>
      </c>
      <c r="J43" s="7">
        <f>(G43-F43)/(G43+F43)*100</f>
        <v>-30.121056613160331</v>
      </c>
    </row>
    <row r="44" spans="1:10" x14ac:dyDescent="0.2">
      <c r="A44" t="s">
        <v>406</v>
      </c>
      <c r="B44" s="5">
        <f>SUMIF(districts!A:A,"TX",districts!D:D)</f>
        <v>4684856</v>
      </c>
      <c r="C44" s="5">
        <f>SUMIF(districts!A:A,"TX",districts!E:E)</f>
        <v>3877865</v>
      </c>
      <c r="D44" s="5">
        <f>SUMIF(districts!A:A,"TX",districts!F:F)</f>
        <v>5890570</v>
      </c>
      <c r="E44" s="5">
        <f>SUMIF(districts!A:A,"TX",districts!G:G)</f>
        <v>5259281</v>
      </c>
      <c r="F44" s="5">
        <f>SUMIF(districts!A:A,"TX",districts!H:H)</f>
        <v>6393403</v>
      </c>
      <c r="G44" s="5">
        <f>SUMIF(districts!A:A,"TX",districts!I:I)</f>
        <v>4835134</v>
      </c>
      <c r="H44" s="7">
        <f>(C44-B44)/(C44+B44)*100</f>
        <v>-9.4244691611463214</v>
      </c>
      <c r="I44" s="7">
        <f>(E44-D44)/(E44+D44)*100</f>
        <v>-5.6618604140988076</v>
      </c>
      <c r="J44" s="7">
        <f>(G44-F44)/(G44+F44)*100</f>
        <v>-13.877756291848172</v>
      </c>
    </row>
    <row r="45" spans="1:10" x14ac:dyDescent="0.2">
      <c r="A45" t="s">
        <v>445</v>
      </c>
      <c r="B45" s="5">
        <f>SUMIF(districts!A:A,"UT",districts!D:D)</f>
        <v>611640</v>
      </c>
      <c r="C45" s="5">
        <f>SUMIF(districts!A:A,"UT",districts!E:E)</f>
        <v>456222</v>
      </c>
      <c r="D45" s="5">
        <f>SUMIF(districts!A:A,"UT",districts!F:F)</f>
        <v>865139</v>
      </c>
      <c r="E45" s="5">
        <f>SUMIF(districts!A:A,"UT",districts!G:G)</f>
        <v>560282</v>
      </c>
      <c r="F45" s="5">
        <f>SUMIF(districts!A:A,"UT",districts!H:H)</f>
        <v>883082</v>
      </c>
      <c r="G45" s="5">
        <f>SUMIF(districts!A:A,"UT",districts!I:I)</f>
        <v>562223</v>
      </c>
      <c r="H45" s="7">
        <f>(C45-B45)/(C45+B45)*100</f>
        <v>-14.554127780555914</v>
      </c>
      <c r="I45" s="7">
        <f>(E45-D45)/(E45+D45)*100</f>
        <v>-21.387155093126871</v>
      </c>
      <c r="J45" s="7">
        <f>(G45-F45)/(G45+F45)*100</f>
        <v>-22.200089254517213</v>
      </c>
    </row>
    <row r="46" spans="1:10" x14ac:dyDescent="0.2">
      <c r="A46" t="s">
        <v>450</v>
      </c>
      <c r="B46" s="5">
        <f>SUMIF(districts!A:A,"VA",districts!D:D)</f>
        <v>1769019</v>
      </c>
      <c r="C46" s="5">
        <f>SUMIF(districts!A:A,"VA",districts!E:E)</f>
        <v>1980931</v>
      </c>
      <c r="D46" s="5">
        <f>SUMIF(districts!A:A,"VA",districts!F:F)</f>
        <v>1962219</v>
      </c>
      <c r="E46" s="5">
        <f>SUMIF(districts!A:A,"VA",districts!G:G)</f>
        <v>2413308</v>
      </c>
      <c r="F46" s="5">
        <f>SUMIF(districts!A:A,"VA",districts!H:H)</f>
        <v>2075085</v>
      </c>
      <c r="G46" s="5">
        <f>SUMIF(districts!A:A,"VA",districts!I:I)</f>
        <v>2335395</v>
      </c>
      <c r="H46" s="7">
        <f>(C46-B46)/(C46+B46)*100</f>
        <v>5.6510620141601891</v>
      </c>
      <c r="I46" s="7">
        <f>(E46-D46)/(E46+D46)*100</f>
        <v>10.309363877768323</v>
      </c>
      <c r="J46" s="7">
        <f>(G46-F46)/(G46+F46)*100</f>
        <v>5.902078685313163</v>
      </c>
    </row>
    <row r="47" spans="1:10" x14ac:dyDescent="0.2">
      <c r="A47" t="s">
        <v>462</v>
      </c>
      <c r="B47" s="5">
        <f>SUMIF(districts!A:A,"VT",districts!D:D)</f>
        <v>95369</v>
      </c>
      <c r="C47" s="5">
        <f>SUMIF(districts!A:A,"VT",districts!E:E)</f>
        <v>196791</v>
      </c>
      <c r="D47" s="5">
        <f>SUMIF(districts!A:A,"VT",districts!F:F)</f>
        <v>112704</v>
      </c>
      <c r="E47" s="5">
        <f>SUMIF(districts!A:A,"VT",districts!G:G)</f>
        <v>242820</v>
      </c>
      <c r="F47" s="5">
        <f>SUMIF(districts!A:A,"VT",districts!H:H)</f>
        <v>119395</v>
      </c>
      <c r="G47" s="5">
        <f>SUMIF(districts!A:A,"VT",districts!I:I)</f>
        <v>235791</v>
      </c>
      <c r="H47" s="7">
        <f>(C47-B47)/(C47+B47)*100</f>
        <v>34.714539978094194</v>
      </c>
      <c r="I47" s="7">
        <f>(E47-D47)/(E47+D47)*100</f>
        <v>36.598373105613128</v>
      </c>
      <c r="J47" s="7">
        <f>(G47-F47)/(G47+F47)*100</f>
        <v>32.770435771680191</v>
      </c>
    </row>
    <row r="48" spans="1:10" x14ac:dyDescent="0.2">
      <c r="A48" t="s">
        <v>464</v>
      </c>
      <c r="B48" s="5">
        <f>SUMIF(districts!A:A,"WA",districts!D:D)</f>
        <v>1221330</v>
      </c>
      <c r="C48" s="5">
        <f>SUMIF(districts!A:A,"WA",districts!E:E)</f>
        <v>1742197</v>
      </c>
      <c r="D48" s="5">
        <f>SUMIF(districts!A:A,"WA",districts!F:F)</f>
        <v>1584394</v>
      </c>
      <c r="E48" s="5">
        <f>SUMIF(districts!A:A,"WA",districts!G:G)</f>
        <v>2369369</v>
      </c>
      <c r="F48" s="5">
        <f>SUMIF(districts!A:A,"WA",districts!H:H)</f>
        <v>1530923</v>
      </c>
      <c r="G48" s="5">
        <f>SUMIF(districts!A:A,"WA",districts!I:I)</f>
        <v>2245849</v>
      </c>
      <c r="H48" s="7">
        <f>(C48-B48)/(C48+B48)*100</f>
        <v>17.575915454794234</v>
      </c>
      <c r="I48" s="7">
        <f>(E48-D48)/(E48+D48)*100</f>
        <v>19.853870856700311</v>
      </c>
      <c r="J48" s="7">
        <f>(G48-F48)/(G48+F48)*100</f>
        <v>18.929551479411518</v>
      </c>
    </row>
    <row r="49" spans="1:10" x14ac:dyDescent="0.2">
      <c r="A49" t="s">
        <v>475</v>
      </c>
      <c r="B49" s="5">
        <f>SUMIF(districts!A:A,"WI",districts!D:D)</f>
        <v>1404236</v>
      </c>
      <c r="C49" s="5">
        <f>SUMIF(districts!A:A,"WI",districts!E:E)</f>
        <v>1381354</v>
      </c>
      <c r="D49" s="5">
        <f>SUMIF(districts!A:A,"WI",districts!F:F)</f>
        <v>1609020</v>
      </c>
      <c r="E49" s="5">
        <f>SUMIF(districts!A:A,"WI",districts!G:G)</f>
        <v>1630032</v>
      </c>
      <c r="F49" s="5">
        <f>SUMIF(districts!A:A,"WI",districts!H:H)</f>
        <v>1697626</v>
      </c>
      <c r="G49" s="5">
        <f>SUMIF(districts!A:A,"WI",districts!I:I)</f>
        <v>1668229</v>
      </c>
      <c r="H49" s="7">
        <f>(C49-B49)/(C49+B49)*100</f>
        <v>-0.82144177714595468</v>
      </c>
      <c r="I49" s="7">
        <f>(E49-D49)/(E49+D49)*100</f>
        <v>0.64870832576939175</v>
      </c>
      <c r="J49" s="7">
        <f>(G49-F49)/(G49+F49)*100</f>
        <v>-0.87338878234505046</v>
      </c>
    </row>
    <row r="50" spans="1:10" x14ac:dyDescent="0.2">
      <c r="A50" t="s">
        <v>484</v>
      </c>
      <c r="B50" s="5">
        <f>SUMIF(districts!A:A,"WV",districts!D:D)</f>
        <v>489312</v>
      </c>
      <c r="C50" s="5">
        <f>SUMIF(districts!A:A,"WV",districts!E:E)</f>
        <v>187992</v>
      </c>
      <c r="D50" s="5">
        <f>SUMIF(districts!A:A,"WV",districts!F:F)</f>
        <v>545077</v>
      </c>
      <c r="E50" s="5">
        <f>SUMIF(districts!A:A,"WV",districts!G:G)</f>
        <v>235248</v>
      </c>
      <c r="F50" s="5">
        <f>SUMIF(districts!A:A,"WV",districts!H:H)</f>
        <v>533556</v>
      </c>
      <c r="G50" s="5">
        <f>SUMIF(districts!A:A,"WV",districts!I:I)</f>
        <v>214309</v>
      </c>
      <c r="H50" s="7">
        <f>(C50-B50)/(C50+B50)*100</f>
        <v>-44.48814712448177</v>
      </c>
      <c r="I50" s="7">
        <f>(E50-D50)/(E50+D50)*100</f>
        <v>-39.705122865472717</v>
      </c>
      <c r="J50" s="7">
        <f>(G50-F50)/(G50+F50)*100</f>
        <v>-42.687784560047604</v>
      </c>
    </row>
    <row r="51" spans="1:10" x14ac:dyDescent="0.2">
      <c r="A51" t="s">
        <v>487</v>
      </c>
      <c r="B51" s="5">
        <f>SUMIF(districts!A:A,"WY",districts!D:D)</f>
        <v>174419</v>
      </c>
      <c r="C51" s="5">
        <f>SUMIF(districts!A:A,"WY",districts!E:E)</f>
        <v>55973</v>
      </c>
      <c r="D51" s="5">
        <f>SUMIF(districts!A:A,"WY",districts!F:F)</f>
        <v>193559</v>
      </c>
      <c r="E51" s="5">
        <f>SUMIF(districts!A:A,"WY",districts!G:G)</f>
        <v>73491</v>
      </c>
      <c r="F51" s="5">
        <f>SUMIF(districts!A:A,"WY",districts!H:H)</f>
        <v>192633</v>
      </c>
      <c r="G51" s="5">
        <f>SUMIF(districts!A:A,"WY",districts!I:I)</f>
        <v>69527</v>
      </c>
      <c r="H51" s="7">
        <f>(C51-B51)/(C51+B51)*100</f>
        <v>-51.410639258307576</v>
      </c>
      <c r="I51" s="7">
        <f>(E51-D51)/(E51+D51)*100</f>
        <v>-44.960868751170189</v>
      </c>
      <c r="J51" s="7">
        <f>(G51-F51)/(G51+F51)*100</f>
        <v>-46.958346048214835</v>
      </c>
    </row>
  </sheetData>
  <conditionalFormatting sqref="H2:J51">
    <cfRule type="cellIs" dxfId="3" priority="1" operator="lessThan">
      <formula>0</formula>
    </cfRule>
  </conditionalFormatting>
  <conditionalFormatting sqref="H2:J51">
    <cfRule type="cellIs" dxfId="2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districts</vt:lpstr>
      <vt:lpstr>states</vt:lpstr>
      <vt:lpstr>districts!house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L.</dc:creator>
  <cp:lastModifiedBy>Davis L.</cp:lastModifiedBy>
  <dcterms:created xsi:type="dcterms:W3CDTF">2026-03-26T21:33:35Z</dcterms:created>
  <dcterms:modified xsi:type="dcterms:W3CDTF">2026-03-26T21:45:13Z</dcterms:modified>
</cp:coreProperties>
</file>